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LEI\Desktop\"/>
    </mc:Choice>
  </mc:AlternateContent>
  <xr:revisionPtr revIDLastSave="0" documentId="8_{63C57378-0898-45CA-AB0E-3D78FA475A9A}" xr6:coauthVersionLast="47" xr6:coauthVersionMax="47" xr10:uidLastSave="{00000000-0000-0000-0000-000000000000}"/>
  <bookViews>
    <workbookView xWindow="-23100" yWindow="-210" windowWidth="21600" windowHeight="12645" xr2:uid="{8B453680-E0F6-4E4D-9584-7CAFE7BD78EB}"/>
  </bookViews>
  <sheets>
    <sheet name="overlap w calyx" sheetId="1" r:id="rId1"/>
  </sheets>
  <definedNames>
    <definedName name="_xlnm._FilterDatabase" localSheetId="0" hidden="1">'overlap w calyx'!$A$1:$AX$108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08" i="1" l="1"/>
  <c r="AW107" i="1"/>
  <c r="AW106" i="1"/>
  <c r="AW105" i="1"/>
  <c r="AW104" i="1"/>
  <c r="AW103" i="1"/>
  <c r="AW102" i="1"/>
  <c r="AW101" i="1"/>
  <c r="AW100" i="1"/>
  <c r="AW99" i="1"/>
  <c r="AW98" i="1"/>
  <c r="AW97" i="1"/>
  <c r="AW96" i="1"/>
  <c r="AW95" i="1"/>
  <c r="AW94" i="1"/>
  <c r="AW93" i="1"/>
  <c r="AW92" i="1"/>
  <c r="AW91" i="1"/>
  <c r="AW90" i="1"/>
  <c r="AW89" i="1"/>
  <c r="AW88" i="1"/>
  <c r="AW87" i="1"/>
  <c r="AW86" i="1"/>
  <c r="AW85" i="1"/>
  <c r="AW84" i="1"/>
  <c r="AW83" i="1"/>
  <c r="AW82" i="1"/>
  <c r="AW81" i="1"/>
  <c r="AW80" i="1"/>
  <c r="AW79" i="1"/>
  <c r="AW78" i="1"/>
  <c r="AW77" i="1"/>
  <c r="AW76" i="1"/>
  <c r="AW75" i="1"/>
  <c r="AW74" i="1"/>
  <c r="AW73" i="1"/>
  <c r="AW72" i="1"/>
  <c r="AW71" i="1"/>
  <c r="AW70" i="1"/>
  <c r="AW69" i="1"/>
  <c r="AW68" i="1"/>
  <c r="AW67" i="1"/>
  <c r="AW66" i="1"/>
  <c r="AW65" i="1"/>
  <c r="AW64" i="1"/>
  <c r="AW63" i="1"/>
  <c r="AW62" i="1"/>
  <c r="AW61" i="1"/>
  <c r="AW60" i="1"/>
  <c r="AW59" i="1"/>
  <c r="AW58" i="1"/>
  <c r="AW57" i="1"/>
  <c r="AW56" i="1"/>
  <c r="AW55" i="1"/>
  <c r="AW54" i="1"/>
  <c r="AW53" i="1"/>
  <c r="AW52" i="1"/>
  <c r="AW51" i="1"/>
  <c r="AW50" i="1"/>
  <c r="AW49" i="1"/>
  <c r="AW48" i="1"/>
  <c r="AW47" i="1"/>
  <c r="AW46" i="1"/>
  <c r="AW45" i="1"/>
  <c r="AW44" i="1"/>
  <c r="AW43" i="1"/>
  <c r="AW42" i="1"/>
  <c r="AW41" i="1"/>
  <c r="AW40" i="1"/>
  <c r="AW39" i="1"/>
  <c r="AW38" i="1"/>
  <c r="AW37" i="1"/>
  <c r="AW36" i="1"/>
  <c r="AW35" i="1"/>
  <c r="AW34" i="1"/>
  <c r="AW33" i="1"/>
  <c r="AW32" i="1"/>
  <c r="AW31" i="1"/>
  <c r="AW30" i="1"/>
  <c r="AW29" i="1"/>
  <c r="AW28" i="1"/>
  <c r="AW27" i="1"/>
  <c r="AW26" i="1"/>
  <c r="AW25" i="1"/>
  <c r="AW24" i="1"/>
  <c r="AW23" i="1"/>
  <c r="AW22" i="1"/>
  <c r="AW21" i="1"/>
  <c r="AW20" i="1"/>
  <c r="AW19" i="1"/>
  <c r="AW18" i="1"/>
  <c r="AW17" i="1"/>
  <c r="AW16" i="1"/>
  <c r="AW15" i="1"/>
  <c r="AW14" i="1"/>
  <c r="AW13" i="1"/>
  <c r="AW12" i="1"/>
  <c r="AW11" i="1"/>
  <c r="AW10" i="1"/>
  <c r="AW9" i="1"/>
  <c r="AW8" i="1"/>
  <c r="AW7" i="1"/>
  <c r="AW6" i="1"/>
  <c r="AW5" i="1"/>
  <c r="AW4" i="1"/>
  <c r="AW3" i="1"/>
  <c r="AW2" i="1"/>
</calcChain>
</file>

<file path=xl/sharedStrings.xml><?xml version="1.0" encoding="utf-8"?>
<sst xmlns="http://schemas.openxmlformats.org/spreadsheetml/2006/main" count="2621" uniqueCount="1138">
  <si>
    <t>category</t>
  </si>
  <si>
    <t>country</t>
  </si>
  <si>
    <t>first_issuance_at</t>
  </si>
  <si>
    <t>first_retirement_at</t>
  </si>
  <si>
    <t>is_compliance</t>
  </si>
  <si>
    <t>issued</t>
  </si>
  <si>
    <t>name</t>
  </si>
  <si>
    <t>project_id</t>
  </si>
  <si>
    <t>project_type</t>
  </si>
  <si>
    <t>project_type_source</t>
  </si>
  <si>
    <t>project_url</t>
  </si>
  <si>
    <t>proponent</t>
  </si>
  <si>
    <t>protocol</t>
  </si>
  <si>
    <t>registry</t>
  </si>
  <si>
    <t>retired</t>
  </si>
  <si>
    <t>status</t>
  </si>
  <si>
    <t>match</t>
  </si>
  <si>
    <t>GHG rating</t>
  </si>
  <si>
    <t>SDG rating</t>
  </si>
  <si>
    <t>SDG certificates</t>
  </si>
  <si>
    <t>Gender</t>
  </si>
  <si>
    <t>evidence</t>
  </si>
  <si>
    <t>Labor</t>
  </si>
  <si>
    <t>Biodiversity</t>
  </si>
  <si>
    <t>Resource efficiency</t>
  </si>
  <si>
    <t>Pollution</t>
  </si>
  <si>
    <t>IPLC</t>
  </si>
  <si>
    <t>Cultural</t>
  </si>
  <si>
    <t>health safetysecurity</t>
  </si>
  <si>
    <t>Benefit sharing</t>
  </si>
  <si>
    <t>Displacement</t>
  </si>
  <si>
    <t>Assessment</t>
  </si>
  <si>
    <t>Stakeholder engagement</t>
  </si>
  <si>
    <t>MRV</t>
  </si>
  <si>
    <t>Grievance</t>
  </si>
  <si>
    <t>Total</t>
  </si>
  <si>
    <t>forest</t>
  </si>
  <si>
    <t>India</t>
  </si>
  <si>
    <t>2023-06-28 00:00:00+00:00</t>
  </si>
  <si>
    <t>2024-01-19 00:00:00+00:00</t>
  </si>
  <si>
    <t>Community-based reforestation project on degraded lands in Uttar Pradesh, India by Indian Farm Forestry Development Co-operative Limited</t>
  </si>
  <si>
    <t>VCS1015</t>
  </si>
  <si>
    <t>Afforestation + Reforestation</t>
  </si>
  <si>
    <t>berkeley</t>
  </si>
  <si>
    <t>https://registry.verra.org/app/projectDetail/VCS/1015</t>
  </si>
  <si>
    <t>Indian Farm Forestry Development Co-operative Limited</t>
  </si>
  <si>
    <t>['ar-ams0005']</t>
  </si>
  <si>
    <t>verra</t>
  </si>
  <si>
    <t>registered</t>
  </si>
  <si>
    <t>1</t>
  </si>
  <si>
    <t>Tier2</t>
  </si>
  <si>
    <t>Not certified</t>
  </si>
  <si>
    <t>None</t>
  </si>
  <si>
    <t>The project has assisted farmers, especially women, to promote plantation on 
wastelands and marginally productive lands by organizing primary farm forestry co-operatives.</t>
  </si>
  <si>
    <t>NA</t>
  </si>
  <si>
    <t>The project under discussion has not led to any 
conversion of native ecosystems.</t>
  </si>
  <si>
    <t>With the consent of the local community, the co-operative specialist of the project proceeds with the formation of PFFCS</t>
  </si>
  <si>
    <t xml:space="preserve"> The agreement also institutionalizes the sharing of revenues generated from carbon 
credits as a result of the forest carbon project between the land owner, PFFCS and IFFDC. </t>
  </si>
  <si>
    <t>i) An enforceable and irrevocable agreement with the holder of the property right in the land (in this 
case the land-owners)that generates GHG removals which vests the right of use in the project 
proponent</t>
  </si>
  <si>
    <t>An environmental and social impact assessment study to assess the potential effects of the project on 
local environment, community and biodiversity has been conducted. Besides, the mitigation plan for the 
potential negative effects have also been ...In this section the potential impacts of the project on environmental 
rehabilitation have been summarized and mitigation measures for any negative impacts have been 
detailed.</t>
  </si>
  <si>
    <t xml:space="preserve">The administrative structure of the IFFDC project is well defined to process any communication regarding 
the project right from the community level.The PFFCS will convey the inputs through their monthly meetinreportssubmitted to the State IFFDC office as well as the quarterly board meetings held by IFFDC. </t>
  </si>
  <si>
    <t>The project involves monitoring of plantation management related activities which includes parameters for 
calculating carbon sequestration as well as project governance related monitoring involving review of 
community participation, progress of livelihood development programs etc.</t>
  </si>
  <si>
    <t>Peru</t>
  </si>
  <si>
    <t>2013-09-25 00:00:00+00:00</t>
  </si>
  <si>
    <t>2013-09-26 00:00:00+00:00</t>
  </si>
  <si>
    <t>Reduction of deforestation and degradation in Tambopata National Reserve and Bahuaja-Sonene National Park within the area of Madre de Dios region â€“Peru</t>
  </si>
  <si>
    <t>VCS1067</t>
  </si>
  <si>
    <t>REDD+</t>
  </si>
  <si>
    <t>https://registry.verra.org/app/projectDetail/VCS/1067</t>
  </si>
  <si>
    <t>AsociaciÃ³n para la InvestigaciÃ³n y Desarrollo Integral â€“ AIDER</t>
  </si>
  <si>
    <t>['vm0007']</t>
  </si>
  <si>
    <t>Tier3</t>
  </si>
  <si>
    <t>CCB</t>
  </si>
  <si>
    <t>November 23, 2010. Meeting for the presentation communal participatory exhibition on women 
and men participating in sustainable development, gender empowerment induction and 
reinforce notions of REDD48
.</t>
  </si>
  <si>
    <t>Law No. 26834, Natural Protected Areas Law, states that the natural condition of these areas must be maintained in perpetuity and may allow the regulated use of the area and the use of resources, or determined the restriction of direct use; the project meets to maintain the natural condition of the NPAs that comprise the project area.</t>
  </si>
  <si>
    <t>Forest governance: This component is addressed to promote agreements between institutions 
and related to responsibilities that allow a better governance of resources within the project area 
and leakage belt.</t>
  </si>
  <si>
    <t>The project has elaborated a Project Design Document following the Climate, Community &amp; Biodiversity Association (CCBA) standards, containing the plans and process of consultation to local populations. By implementing altogether this 4 components, pressure for land-use and resources will be reduced 
over the project area</t>
  </si>
  <si>
    <t>To identify all critical interactions that link the NPA with the local populations and surrounding landscape, paying special attention to those that lead to direct conflict situations</t>
  </si>
  <si>
    <t>The project area is under AIDER administration, by virtue of the contract subscribed with the Peruvian State, which is owner of the carbon rights (project proponents must be able to show control over the project area and property over the carbon rights for the project area at the time of verification</t>
  </si>
  <si>
    <t>The possible impacts that would generate the different activities proposed by the project were evaluated 
and qualified: agroforestry, gold mining, forest management, chestnut management. The main study 
conclusions are presented next; the complete assessment is on Annex 26.</t>
  </si>
  <si>
    <t>The socio-economic assessments allow to formulate strategies for resources use and to carry out, 
together with the populations, action plans for better management, emphasizing the sustainable 
harnessing.
Efforts have been made to do consultations in a way that the coordination with social networks that cross 
the families, their representative board of directors, as well as regional indigenous organizations 
(Federación Nativa del rio Madre de Dios y Afluentes - FENAMAD), and agriculturalists’ guild 
organizations (Federación Agraria de Madre de Dios - FADEMAD) are assured.
The discussion that has been occurring in different spaces, promoted by public entities, as well as by 
private institutions and NGOs, is allowing to dialogue with communities, which are increasingly willing to 
listen and dialogue about REDD.
In this way, Native Communities have an interest in REDD as this mechanism allow them to improve their
life quality. We have been informing and coordinating with Asociación Forestal Indígena de Madre de 
Dios – AFIMAD, which is recognized and is political part of FENAMAD, and is in charge of productive 
activities of Native Communities. The REDD consultation process is slow when it is carried out within 
regional organizations of Native Communities, not being the case of individual communities, in which 
case is faster.
The project proposal has been presented to populations of the project’s area of influence since 2009, 
conducting meetings with the Management Committee of the RNTAMB and the Quick Participatory 
Assessment with the populations. In such a way, the productive proposals have been developing step by 
step, which execution is launched based on knowledge and acceptance of involved population and their 
authorities.
The Management Committee, having the representation of 2 delegates per settlement, expressed its 
interest for promoting environment-friendly economic activities; something that characterizes the 
delegates is the degree of consciousness that they have develop about the need to conserve the forest, 
considering that in this way they will ensure their children’s welfare; therefore, they are waiting with a lot 
of expectation the launch of economic activities that the project will promote.
On its side, the leadership of the Federación Nativa del rio Madre de Dios y Afluentes (FENAMAD) has as 
a priority to include and start revaluating the issue of the ancestral territory of Ese´eja ethnic group, 
considering that its participation in management of RNTAMB is still scarce. They show conscience of the 
problem that represents the global climate change. The project will allow then to strength their capacities 
The Federación Agraria de Madre de Dios (FADEMAD) is interested in developing the environmental 
services offer as an economic opportunity for the forest. Additionally, the “Agroforestry Plan” promoted by 
the Federation and communicated to the producers along the Interoceanic highway, is being positively 
received, and also implemented by some NGOs. They consider that the project activities are a 
complement to strength the good practices specified in the plan. Likewise, they consider that the 
techniques proposed by the project will allow putting order in the forest in a way according to the new 
exigencies of social life and climate change
At the local level, the project proponents carry out monthly meetings with the surrounding communities, from 
where the majority of employees come. These meetings represent an open forum for concerns, suggestions 
etc to be raised. In addition anonymous boxes occur around both project areas, for stakeholders to carry out 
communication</t>
  </si>
  <si>
    <t xml:space="preserve">Scheme of annual monitoring;Apply surveys/interviews to 
local and regional 
authorities
-Collect information from 
official reports of 
SERNANP and regional 
forest authority 
-Apply surveys/ interviews 
to community leaders
-Revision legal regulations 
issued (municipal by-laws, 
directives, legal provisions) </t>
  </si>
  <si>
    <t>(The project area is constituted by 2 Natural Protected Areas, which, according to NPA Law, is 
part of the Heritage of the Nation and cannot be awarded in property to privates.
The lands are property of Peruvian State – National Service of Natural Protected Areas 
(SERNANP).)
Seperate CCB design doc, only written in local language</t>
  </si>
  <si>
    <t>Nicaragua</t>
  </si>
  <si>
    <t>2020-03-25 00:00:00+00:00</t>
  </si>
  <si>
    <t>EcoPlanet Bamboo Central America - Reforestation Project</t>
  </si>
  <si>
    <t>VCS1085</t>
  </si>
  <si>
    <t>https://registry.verra.org/app/projectDetail/VCS/1085</t>
  </si>
  <si>
    <t>EcoPlanet Bamboo Group, LLC</t>
  </si>
  <si>
    <t>['ar-acm0001']</t>
  </si>
  <si>
    <t>The biodiversity impacts are therefore predicted to be unilaterally positive.
The proposed project activity is an AFOLU ARR, specifically a reforestation project, utilizing native bamboo, 
Guadua aculeata, for the regeneration of degraded pasture lands on the Atlantic coast of Nicaragua</t>
  </si>
  <si>
    <t>Land Requirements
EcoPlanet Bamboo only acquires properties that meet the stringent eligibility requirements for carbon finance:
• Deforestation must have occurred more than 10years prior to acquisition, and a trend of increasing 
degradation since
• Land to be planted must not be categorized as ―forest‖.
• Forest and/or ―woodland‖ cover on the property should be less than 25% of the total area
• Inherently low levels of biomass – grassland or shrubland with scattered trees is preferable
In addition:
• There must be communities within the vicinity that suffer from high levels of poverty, and that have the 
desire for employment
● We only consider large properties, no less than 250 acres as an initial purchase, in order to not affect 
small-scale farmers.
Seller Requirements
In order to avoid leakage (ie buying land from landowners who will simply buy cheaper areas of existing forest 
and therefore contribute to further deforestation, EcoPlanet Bamboo ensures the following:
● Understand the seller: (where will the money go?) Get assurances that the money earned from his/her 
sale of the land will not lead to unsustainable farming, aggressive agriculture or deforestation 
elsewhere.
○ Although we cannot guarantee this, we are pro-active on selecting the right seller who we 
think will most likely be in compliance with our pre-purchase screening policy.
● Assurance that people depending on these lands for their livelihoods are not cut off from access to 
land, without being consulted, without adequate compensation and/or without providing them suitable 
alternatives. 
● Assurance all stakeholders involved in sale of land are made aware of purchase as well as community 
leaders</t>
  </si>
  <si>
    <t>The geographic area of project activities has been defined within the climatic zone required for bamboo 
growth, and to avoid any area of indigenous community land or land under community tenure and to adhere to 
the following requirements:</t>
  </si>
  <si>
    <t>EcoPlanet Bamboo Group is the sole investor within the project activity, owns all land on which project activities are carried out and has the sole rights to the proceeds from the sale of VCUs.</t>
  </si>
  <si>
    <t xml:space="preserve">As such EcoPlanet Bamboo has had two independent Environmental Impact Assessments (EIA) carried out 
by a Nicaraguan based consulting firm, Fiallos Associates. </t>
  </si>
  <si>
    <t>Brazil</t>
  </si>
  <si>
    <t>2015-02-24 00:00:00+00:00</t>
  </si>
  <si>
    <t>2015-06-18 00:00:00+00:00</t>
  </si>
  <si>
    <t>Ecomapua Amazon REDD Project</t>
  </si>
  <si>
    <t>VCS1094</t>
  </si>
  <si>
    <t>https://registry.verra.org/app/projectDetail/VCS/1094</t>
  </si>
  <si>
    <t>Multiple Proponents</t>
  </si>
  <si>
    <t>['vm0015']</t>
  </si>
  <si>
    <t>Social Carbon</t>
  </si>
  <si>
    <t>In addition, the project will not introduce any invasive species or allow an invasive species to thrive through project implementation. If the project implements any reforestation project with non-native species over native species, the possible risks and adverse effects of exotic species will be justified and explained to communities.</t>
  </si>
  <si>
    <t>This aim will be achieved through improvement of capacity and techniques in sustainable forest use,</t>
  </si>
  <si>
    <t>Improvement of local air by filtering pollutants</t>
  </si>
  <si>
    <t xml:space="preserve"> brings possibilities of generation of alternative income 
sources to local communities, without affecting in anyway the ownership of the land or right to 
use natural resources by local communities.
Respect for Local Stakeholder Resources 
The project owner recognizes, respects and supports local stakeholders’ customary 
tenure/access rights to territories and resources. The project will never encroach on private 
property or relocate people off their lands without consent. In the event there are any ongoing or 
unresolved conflicts over property rights, usage or resources, the project shall undertake no 
activity that could exacerbate the conflict or influence the outcome of an unresolved dispute</t>
  </si>
  <si>
    <t>Monitored by the Social 
resource:
• Social research
Monitored by the Human 
resource:
Project Description: VCS Version 4.0
38
economic and 
environmental 
aspects in the 
project region.
• Health
• Leisure, culture and 
sport</t>
  </si>
  <si>
    <t>a proportion of the carbon credits generated will be dedicated to improving social and environmental conditions for the project area residents, specifically contributing to environmental education and other social activities</t>
  </si>
  <si>
    <t>The project owner recognizes, respects and supports local stakeholders’ customary tenure/access rights to territories and resources.</t>
  </si>
  <si>
    <t>Ecomapuá has conducted a social and environmental impact assessment within the Project Area in 200283. According to this assessment, there were 99 families in the project area, and an estimated 187 families in the reference region at the time of the study. In addition, local presentations and meeting were performed for some communities.</t>
  </si>
  <si>
    <t>The contribution to sustainability is being monitored applying the SOCIALCARBON® Standard, which is based in six main resources: Biodiversity; Natural; Financial; Human; Social and Carbon Resources.</t>
  </si>
  <si>
    <t>Any conflict management will be monitored by SOCIALCARBON indicators, specifically Stakeholder consultation and support for the project.. All comments received will be 
responded, and grievances will be resolved in a suitable timeframe whenever possible, taking 
into account culturally-appropriate conflict resolution methods</t>
  </si>
  <si>
    <t>checked SC validation doc, no score added.</t>
  </si>
  <si>
    <t>Cambodia</t>
  </si>
  <si>
    <t>2018-12-17 00:00:00+00:00</t>
  </si>
  <si>
    <t>2019-04-16 00:00:00+00:00</t>
  </si>
  <si>
    <t>Southern Cardamom REDD+ Project</t>
  </si>
  <si>
    <t>VCS1748</t>
  </si>
  <si>
    <t>https://registry.verra.org/app/projectDetail/VCS/1748</t>
  </si>
  <si>
    <t>Royal Government of Cambodia (RGC), Ministry of Environment</t>
  </si>
  <si>
    <t>['vm0009']</t>
  </si>
  <si>
    <t>SD VISta</t>
  </si>
  <si>
    <t xml:space="preserve">The Project, nor any agent of the Project, will discriminate against any person for any reason, including, but not limited to, gender, religion, nationality, tribe, or sexual identity. The Project has established an equal opportunity policy that ensures that the Project will not engage in or be complicit in any form of discrimination. </t>
  </si>
  <si>
    <t xml:space="preserve">The SCRP is committed to providing a workplace and programs that are safe and free from all sexual harassment or unwelcome sexual advances. The Project has drafted a document outlining a sexual harassment policy, defining sexual harassment and describing the recourse that any employee who feels that they have suffered sexual harassment should take. </t>
  </si>
  <si>
    <t>All Project Activities that include any planting or reforestation within the Project Zone shall utilize native or naturalized tree/plant species that will be nurtured in nurseries on-site. No non-native species will be used naturalized tree/plant species that will be nurtured in nurseries on-site. No non-native species will be usedin the Project Accounting Area. All agricultural areas in the landscape have been excised from the Project Accounting Area a priori.No GMOs will be used both within the Project Accounting Area and Project Zone.</t>
  </si>
  <si>
    <t xml:space="preserve">Training and support for sustainable eco-charcoal techniques </t>
  </si>
  <si>
    <t>5.2.10 Waste Products (B2.9)
The main wastes anticipated from implementation of this project are from construction activities e.g., classrooms, health facilities and any other infrastructure. For any such activity, we will adhere to the national regulations and guidelines, as stipulated under the established Environmental and Social Impact Assessment process.</t>
  </si>
  <si>
    <t xml:space="preserve">During the last year, Project Partners have conducted a Social and Biodiversity Impact Assessment (SBIA) and suite of community meetings focused on Free Prior and Informed Consent (FPIC). These meetings were the basis for which Project costs, risks and benefits to communities have been communicated. </t>
  </si>
  <si>
    <t>Specify HCV (e.g., name the hydrological service, food source
or culturally significant area)</t>
  </si>
  <si>
    <t>Anticipated impacts for specific stakeholder groups</t>
  </si>
  <si>
    <t xml:space="preserve">Improve Health Facilities and Care: Proceeds from the Project will be used to enhance the delivery of health care through increased support to health care workers, hiring of additional health care employees and improvements of facilities such as rainwater collection, solar systems, sanitation and support for outreach (hand washing stands at local schools, etc.) </t>
  </si>
  <si>
    <t>2.6.2 Recognition of Property Rights (G5.1)2.6.3 Free, Prior and Informed Consent (G5.2)
The project will not encroach uninvited on private property, community property or government property. Tenure of the Project Area is outlined in Section 2.6.9. Furthermore, section 2.3.7. outlines the comprehensive procedure of FPIC activities which ensures that all stakeholders and communities are consulted.
2.6.4 Property Rights Protection (G5.3)
The Project does not require involuntary removal or relocation of communities or any activities important
for their livelihood and culture.
2.6.5 Illegal Activity Identification (G5.4)</t>
  </si>
  <si>
    <t xml:space="preserve">he SCRP strives to minimize the possibility of conflicts and grievances by maintaining close linkages between and working proactively with communities and stakeholders throughout the Project Zone. The Project additionally has an open-door policy, encouraging community members, stakeholders and employees to visit the Project Office and Project Sub-Office, which is located at the Ministry of Environment branch office in Koh Kong town and Community Based Ecotourism offices in Chi Phat and Areng, and discuss any issues or feedback directly with project staff. </t>
  </si>
  <si>
    <t xml:space="preserve">Social Impact Assessment: Monitoring Plan Biodiversity Assessment: Monitoring Plan </t>
  </si>
  <si>
    <t>If conflicts or grievances arise, the SCRP has a feedback and grievance redress policy and process, the purpose of which is to provide an efficient, fair and accessible mechanism for resolving complaints and conflicts, and ensure that the process is transparent and comprehensive. The SCRP feedback and grievance redress process has been publicized to communities and a copy provided to the project validator.</t>
  </si>
  <si>
    <t>2012-12-21 00:00:00+00:00</t>
  </si>
  <si>
    <t>Alto Mayo Conservation Initiative</t>
  </si>
  <si>
    <t>VCS944</t>
  </si>
  <si>
    <t>https://registry.verra.org/app/projectDetail/VCS/944</t>
  </si>
  <si>
    <t>Conservation International Foundation</t>
  </si>
  <si>
    <t>For Conservation International, a conservation corridor comprises a system of natural areas with very
high biodiversity values, managed with appropriate planning tools in order to integrate them into the
socio-economic, political and cultural environment that surrounds them, with the goal of ensuring the
conservation of nationally and globally important species, their ecosystems and the ecological processes
that they generate (Fundación Natura and Conservation International, 2009). The AMPF forms a central
part in this comprehensive and strategic ecological conservation system.</t>
  </si>
  <si>
    <t>This initiative is funded by the
Norwegian Agency for Development Cooperation (NORAD) and aims to enhance the capacity of
GORESAM in designing and implementing an integrated REDD-plus readiness process that can serve as
a national model that safeguards indigenous and local peoples’ rights and perspectives in the design of
REDD-plus strategies, in line with the REDD Readiness Preparation Proposal (R-PP) as approved by the
World Bank Forest Carbon Partnership Facility (FCPF).</t>
  </si>
  <si>
    <t xml:space="preserve">For Conservation International, a conservation corridor comprises a system of natural areas with very
high biodiversity values, managed with appropriate planning tools in order to integrate them into the
socio-economic, political and cultural environment that surrounds them, with the goal of ensuring the
conservation of nationally and globally important species, their ecosystems and the ecological processes
that they generate (Fundación Natura and Conservation International, 2009). </t>
  </si>
  <si>
    <t xml:space="preserve">To do this, the AMCI invests in offering tangible start-up
benefits to the population, such as the construction of tree nurseries, efficient wood stoves, or other
benefits that respond to community needs. </t>
  </si>
  <si>
    <t>Conservational International and its
partner SPDA conducted an extensive land tenure analysis as part of the AMCI which showed that there
are no known registered legal landowners within the AMPF other than the Peruvian State (see the Land
Ownership and Access/Use Rights section of the Non-Permanence Risk Report).</t>
  </si>
  <si>
    <t>The current regulatory framework regarding environmental impact assessments falls under the System of
Environmental Impact Assessments Law (Law Nº 27446), or “Ley del Sistema de Evaluación de Impacto
Ambiental (SEIA)”, and associated regulations….Thus, the activities undertaken by Conservation International as part of the AMCI fall outside of the scope
of the SEIA and are not subject to the norm or obligations deriving from it. For a more complete
explanation of the SEIA and legal opinion please see respective Supportive Information
(Sup.Inf_PD_5.1).
but have social impact(land rights)</t>
  </si>
  <si>
    <t>The signing of CAs entails a process of continuous dialogue with local settlers, and follows a specific methodology designed by Conservation International’s Conservation Stewards Program (seeSup.Inf_PD_1.2). </t>
  </si>
  <si>
    <t>Paraguay</t>
  </si>
  <si>
    <t>2023-03-22 00:00:00+00:00</t>
  </si>
  <si>
    <t>2023-09-15 00:00:00+00:00</t>
  </si>
  <si>
    <t>Afforestation and restoration of degraded forests in Eastern Paraguay or Forestal Azul Carbon Project</t>
  </si>
  <si>
    <t>VCS2469</t>
  </si>
  <si>
    <t>https://registry.verra.org/app/projectDetail/VCS/2469</t>
  </si>
  <si>
    <t>Forestal Azul S.A.</t>
  </si>
  <si>
    <t>['ar-acm0003']</t>
  </si>
  <si>
    <t>The Law Nº 213/93 establishes the latest provisions on minimum wage, vacations and other
benefits that shall be observed when engaging labor in Paraguay.
 Workers must be registered in the national social security system (IPS), which provides
health insurance and retirement pension fund. Costs are split between the employer and the
employee, contributing with 16 % and 9 % of the salary, respectively.</t>
  </si>
  <si>
    <t>Habitat destruction and conversion
though plantations
Plantations could have negative
impacts on local ecosystem and
biodiversity if they are established
on natural ecosystems.
 Plantations are established on areas previously used
for implanted pastures (beef production) or mechanized
agriculture.
 Under no circumstances does forest conversion take
place for the establishment of plantations. A historical
land use assessment is conducted before planting.
 A condition for land lease is the existence of a valid
environmental license by the owner.
 A baseline biodiversity study was conducted
documenting the state of the site before planting.</t>
  </si>
  <si>
    <t>Regarding risk mitigation, all pesticides are managed according to best practice, and they are
used specifically and following health and safety standards and environmental mitigation
measures. This is also controlled during annual FSC audits.</t>
  </si>
  <si>
    <t> Paraguay is a signatory to the core
international human rights treaties,
including the ILO Indigenous and
Tribal Peoples Convention, 1989
(No. 169).
 Art. 64 of the Constitution
 Paraguay recognizes the right of
indigenous communities to communal
including the plans to ensure the project wil l not impact local stakeholder’s
property rights without the free, prior and informed consent.
ownership of their lands.</t>
  </si>
  <si>
    <t>Transport of wood products
and inputs in and out of the
FMU could increase traffic and
increase dangers to the
communities located on the
access road. Procedures for the correct use, storage
and application of pesticides and
chemical products.
 Provision of security equipment adequate
for the different types of work.
 Trainings in emergency preparedness,
first aid and health and safety.
 Provision and monitoring of first aid kits.
 Installation of warning signs in dangerous
places.
 Provision of appropriate food and
accommodation for workers.
 Annual consultations with workers on job
satisfaction.</t>
  </si>
  <si>
    <t>The carbon finance component would reduce
these risks by diversifying the product portfolio, introducing an early income stream, and allow
for greater flexibility in terms of benefit sharing arrangements.</t>
  </si>
  <si>
    <t>Displacement/livelihoods
/access to ecosystem services
Local
community
members
 The project is taking place on private
properties.
 The legality of the title was assessed, and
no disputes identified.
 Initial consultation with local communities
and the grievance mechanism are used
to rule out or act upon disputes and/or
conflicts. No conflicts about land use or
access have been raised to date.</t>
  </si>
  <si>
    <t>Social impact and mitigation measures implemented</t>
  </si>
  <si>
    <t>ocial impact and mitigation measures implemented
Risk
Affected
stakeholders Mitigation measures</t>
  </si>
  <si>
    <t>Introduction of a Community Liaison Officer (CLO) to manage the Communication and
Grievance Mechanism. The CLO acts as the main contact person between community
members, field workers and the company.</t>
  </si>
  <si>
    <t>Uganda</t>
  </si>
  <si>
    <t>2011-09-08 00:00:00+00:00</t>
  </si>
  <si>
    <t>2012-05-08 00:00:00+00:00</t>
  </si>
  <si>
    <t>Natural High Forest Rehabilitation Project on degraded land of Kibale National Park</t>
  </si>
  <si>
    <t>VCS673</t>
  </si>
  <si>
    <t>https://registry.verra.org/app/projectDetail/VCS/673</t>
  </si>
  <si>
    <t>PRIMAKLIMA e.V.</t>
  </si>
  <si>
    <t>The 2006 SGS’ FSC report states that “Community consultation was carried out at Kibale and all groups/individuals interviewed (e.g. the Nyabweya Parish Community, the Bigodi Women’s Group, the Mugume Clinic Nurse, Nursery workers) were well aware of the benefits of the forest, and how they could access these benefits.</t>
  </si>
  <si>
    <t>Activity:
The selection of planting species was based on the preference of site conditions, carbon sequestration rates, biodiversity conservation and socio economic values:
1. Restoration forest with pioneer species: This type of forest system comprises of the pioneer species used for the restoration of the degraded forest. 
2. Restoration forest with intermediate and climax species
3. Characteristic features of major species</t>
  </si>
  <si>
    <t xml:space="preserve">Plastic pots are generally re- used by local communities and the pots are bio-degradable. </t>
  </si>
  <si>
    <t>clerk in place to Ensures good public relations with the local communities around the
project area are cultivated and maintained. 6.1.5 Translated from “Orukurato RWA PARK Katebe” which means meeting with the community of Katebe on 21-11-2008</t>
  </si>
  <si>
    <t>to protect areas of aesthetic beauty and of special interest</t>
  </si>
  <si>
    <t>There is no Ugandan Law explicitly stipulating carbon ownership rights. A contract is in place between UWA and Face the Future, which legally transfers ownership of the issued VCUs to Face the Future. All VCUs from the ARR VCS project will therefore be issued to - and owned by - Face the Future.</t>
  </si>
  <si>
    <t>Since the land is owned by the Ugandan Government, there are no overlapping claims. The area now known as Kibale National Park (KNP) is situated in western Uganda and has fallen under various protected area categories for over sixty years. Kibale Forest was originally managed by the British, and later by Ugandan authorities, as a Forest Reserve from 1932 to 1993 under the authority of the Forest Department.</t>
  </si>
  <si>
    <t>Detailed documentation on the analysis of environmental impacts are contained in the “Environmental Impact Study (EIS) report for the future operations of the UWA-Face Project” prepared by Environmental Monitoring Associates (EMA) Ltd in 1999.</t>
  </si>
  <si>
    <t>Brief description of how comments by local stakeholders have been invited and compiled:</t>
  </si>
  <si>
    <t>2020-12-01 00:00:00+00:00</t>
  </si>
  <si>
    <t>2020-12-08 00:00:00+00:00</t>
  </si>
  <si>
    <t>Floresta Verde REDD+ Project</t>
  </si>
  <si>
    <t>VCS1953</t>
  </si>
  <si>
    <t>https://registry.verra.org/app/projectDetail/VCS/1953</t>
  </si>
  <si>
    <t>Floresta Verde ServiÃ§os Ltda.</t>
  </si>
  <si>
    <t>Anti-Discrimination Assurance (G3.7)
ARC has company policies to prevent discrimination and outline a course of action, should it occur,
the human resource (HR) policy provides a clear statement on discrimination relating to gender,
religion or sexual discrimination. Discrimination is considered a level A misconduct under the HR
policy. Where discrimination occurs within the company, partner organisations or within project
areas (project participants), actions are outlined in the grievance policy to ensure that any
discrimination is dealt with by the senior management. All company employees and field partners
sign a code of conduct with ES that includes anti-discrimination.</t>
  </si>
  <si>
    <t>Relevant Laws and Regulations Related to Worker’s Rights (G3.11)
Local villagers will receive clear and adequate information about the requirements of national and
international regulations on workers’ rights before entering in a contract agreement with ARC..Worker Training (G3.9),Occupational Safety Assessment (G3.12)</t>
  </si>
  <si>
    <t xml:space="preserve">As for biodiversity in the specific case of the property, there will be an increase in different species
of birds (including hawks, woodpeckers, snakes-hunter birds and various species of birds) and
mammals (including Anteaters, Tapirs, Deer, Foxes, Wild Boars, Ocelots and numerous species of
rodents) can be frequently found in the Project Zone. The project preserves and conserves the native amazon forest of around 53,528 hectares in a critical region
of the eastern amazon biome. </t>
  </si>
  <si>
    <t>The free prior informed consent (of the appropriate holders of property rights and other
stakeholders) has been applied throughout the implementation period and will continue to be
applied throughout the duration of the ARC REDD Project.</t>
  </si>
  <si>
    <t>enefits reported in
other metrics of this table (e.g. Training, Employment, Livelihoods, Health, Education and Water), and may also
include other benefits such as strengthened legal rights to resources, increased food security, conservation of access
to areas of cultural significance, et
Social Organization and cultural identity:</t>
  </si>
  <si>
    <t xml:space="preserve"> ARC group policy instructs participants to avoid
to the best of their ability situations which pose unnecessary risk to personal safety. As participants
live with-in and often traverse the landscape risks like exposure to dangerous animals, snake bites,
etc. are unaffected by employment in the ARC group. ARC group discourages the use of weapons
in any project related activities.</t>
  </si>
  <si>
    <t>Benefit Sharing Mechanisms (GL2.6)
Not Applicable</t>
  </si>
  <si>
    <t>The project activities do not lead to any type of involuntary relocation or relocation because all the
participants / owners own their land and present documents that accredit it. In addition, ARC group
has informed in all the socializations that at no time will be made purchase of land.</t>
  </si>
  <si>
    <t>Stakeholder Engagement
2.3.1 Stakeholder Access to Project Documents (G3.1), Dissemination of Summary Project Documents (G3.1)，Informational Meetings with Stakeholders (G3.1)</t>
  </si>
  <si>
    <t>Continued Consultation and Adaptive Management</t>
  </si>
  <si>
    <t>Feedback and Grievance Redress Procedure (G3.8)
TFA and ARC has a clear grievance redress mechanism ...An investigation is arranged within 1 week (7
days) to gather additional information, followed by a grievance hearing. The hearing should occur
within 10 working days of the investigation being completed. Additional details, including the contact
numbers of the directors, are included in the grievance policy, available in both English and
Portuguese.</t>
  </si>
  <si>
    <t>2016-07-06 00:00:00+00:00</t>
  </si>
  <si>
    <t>Bukaleba Forest Project</t>
  </si>
  <si>
    <t>VCS799</t>
  </si>
  <si>
    <t>https://registry.verra.org/app/projectDetail/VCS/799</t>
  </si>
  <si>
    <t>Busoga Forestry Co. Ltd (Subsidiary Green Resources)</t>
  </si>
  <si>
    <t>The 
PRA team interviewed village leaders, senior villagers, representatives of ethnic minorities group, 
representatives of women, farmer households.</t>
  </si>
  <si>
    <t>Occupational health and safety hazards to workers</t>
  </si>
  <si>
    <t>All species have been screened against the global database of invasive species and are not invasive in Uganda.</t>
  </si>
  <si>
    <t>Pollution of soils and aquatic systems with herbicide and fertilizers</t>
  </si>
  <si>
    <t>Impacts of afforestation and reforestation activities such as increased traffic accidents</t>
  </si>
  <si>
    <t>Designating 10% of the carbon revenues generated by the project to community development initiatives in the villages surrounding BFP;</t>
  </si>
  <si>
    <t>law: the 
forest reserve has seen far worse anthropogenic pressures to private and community lands, as the clear tenure of 
individuals’ lands means there’s no ambiguity for encroachment.</t>
  </si>
  <si>
    <t>2024-06-20 00:00:00+00:00</t>
  </si>
  <si>
    <t>2024-07-23 00:00:00+00:00</t>
  </si>
  <si>
    <t>TIST Program in Uganda, VCS-CCB 011</t>
  </si>
  <si>
    <t>VCS2497</t>
  </si>
  <si>
    <t>https://registry.verra.org/app/projectDetail/VCS/2497</t>
  </si>
  <si>
    <t>Clean Air Action Corporation</t>
  </si>
  <si>
    <t>Gender sensitivity is built into the program. It was designed for gender equality from the beginning. Against 
culture norms for male leadership and domination, the PP required “one man and one woman” to attend 
seminar and be Small Group representatives at Cluster Meeting. T</t>
  </si>
  <si>
    <t>ver3</t>
  </si>
  <si>
    <t>In addition, the program is designed to allow sustainable harvest within the project boundary by the members, which will reduce the need for fuel wood from external sources. Training includes climate change, health/ 
HIV/AIDS, biodiversity, adopting natural resource management 
practices and TIST (membership application, values, etc). T</t>
  </si>
  <si>
    <t xml:space="preserve">a. All of the host country leaders are Ugandans from the project areas. As such, they are in-grained in the culture and operate TIST in regard to cultural sensitivity.  The Bwindi 
Impenetrable National Park is a UNESCO-designated World Heritage Site. The Bwindi is the home of the Batwa pygmies, known as the 
“Keepers of the Forest”, a hunter-gatherer tribe that has lived in 
the park for thousands of years. 
Focal Area TIST activities will continue to support this area through the 
formation of buffer zones and biodiversity corridors which will 
improve the park for the Batwa people </t>
  </si>
  <si>
    <t>TIST shares 70% of the program’s benefits with farmers, as described in the GHG contract.</t>
  </si>
  <si>
    <t>Uruguay</t>
  </si>
  <si>
    <t>2023-06-27 00:00:00+00:00</t>
  </si>
  <si>
    <t>HG Afforestation Through High Quality Timber Over Degraded Grasslands</t>
  </si>
  <si>
    <t>VCS2992</t>
  </si>
  <si>
    <t>https://registry.verra.org/app/projectDetail/VCS/2992</t>
  </si>
  <si>
    <t>Pike Carbosur S.A.</t>
  </si>
  <si>
    <t>strictly following labour and business local regulations.</t>
  </si>
  <si>
    <t>Protection of rare species and threatened species and their habitats:; Maintenance of functions and ecological values:;Protection of representative samples of existing ecosystems:</t>
  </si>
  <si>
    <t>Soils will be disrupted only once 
each rotation cycle and site preparation will be based on strip tillage, with strips oriented perpendicularly 
to slope direction, and use of glyphosate herbicide to minimize the exposure the soil to erosion agents. 
The tree vegetation will completely protect the soil and at harvest, bark, leaves and branches will be left 
on the ground, thus minimizing any negative impacts of erosion by rainfall and soil degradation by 
harvesting machinery.</t>
  </si>
  <si>
    <t>The project will use a limited amount of certain chemicals during site preparation for plantation; this is, only once in every rotation length. These products include:</t>
  </si>
  <si>
    <t>Cultural sites 5 m</t>
  </si>
  <si>
    <t>All forest operations are supervised focusing on the fulfilment of the technical requirements; 
accomplishment of the legal, safety and environmental standards; revision of yields; timetables; and 
social impacts.</t>
  </si>
  <si>
    <t>Indonesia</t>
  </si>
  <si>
    <t>2013-12-20 00:00:00+00:00</t>
  </si>
  <si>
    <t>2014-01-20 00:00:00+00:00</t>
  </si>
  <si>
    <t>Rimba Raya Biodiversity Reserve Project</t>
  </si>
  <si>
    <t>VCS674</t>
  </si>
  <si>
    <t>https://registry.verra.org/app/projectDetail/VCS/674</t>
  </si>
  <si>
    <t>InfiniteEARTH</t>
  </si>
  <si>
    <t>['vm0004']</t>
  </si>
  <si>
    <t xml:space="preserve">Gender equality through the provision of decent employment and the prioritization of equal 
opportunities for employment of women. </t>
  </si>
  <si>
    <t>Design and implementation of those activities will include measures to minimize risks to worker safety. In all cases, workers will be informed of risks and traThe Rimba Raya project has exceeded all local labor requirements and 
ensured that all workers were apprised of their rightsined in best work practices to reduce them.</t>
  </si>
  <si>
    <t>The project proponents will carry out 
restoration activities, planting seedlings of native dipterocarp and other appropriate tree species in 
areas with an insufficient inventory of young trees. T</t>
  </si>
  <si>
    <t>nfiniteEARTH has chosen to use the Phinisi and its hand-crafted design in order to promote and 
preserve this traditional wooden shipbuilding industry. The ship will be constructed from sustainably 
harvested local hardwoods.</t>
  </si>
  <si>
    <t>In addition, the chicken farm program also has the potential to increase pollution in nearby waterways, 
which will subsequently negatively impact community health. The project proponent plans to mitigate 
this risk by teaching sustainable and healthy farming practices, increasing access to healthcare, and 
increasing access to clean drinking water by distributing water filters</t>
  </si>
  <si>
    <t>During interviews, community members reported no traditional or customary land claims in the project zone. Unlike Dayak elsewhere in Kalimantan, the villages did not have to adapt (indigenous) rules governing the management of land. I</t>
  </si>
  <si>
    <t>The 
villagers do not use forests for cultural or religious purposes</t>
  </si>
  <si>
    <t>s. A portion of the revenue created by selling carbon credits will go toward educational 
scholarships. The objective of this education scholarship program is to create opportunities for 
students from less fortunate families to continue their education to senior high school level or 
equivalent for a period of 3 years. I</t>
  </si>
  <si>
    <t xml:space="preserve">. The project has not required 
people to relocate and has preserved the local communities’ right to access the project area for 
fishing, small scale removal of trees and collection of non-timber forest products. </t>
  </si>
  <si>
    <t xml:space="preserve">The details and 
monitoring results are presented in the tables below. </t>
  </si>
  <si>
    <t>Kenya</t>
  </si>
  <si>
    <t>2011-06-08 00:00:00+00:00</t>
  </si>
  <si>
    <t>2011-06-30 00:00:00+00:00</t>
  </si>
  <si>
    <t>The Kasigau Corridor REDD Project - Phase II The Community Ranches</t>
  </si>
  <si>
    <t>VCS612</t>
  </si>
  <si>
    <t>https://registry.verra.org/app/projectDetail/VCS/612</t>
  </si>
  <si>
    <t>Wildlife Works Carbon LLC</t>
  </si>
  <si>
    <t>members nominated by their respective communities, as representatives of the cultural breadth within the community (e.g. women’s groups, educational groups, youth groups, government agencies, etc).</t>
  </si>
  <si>
    <t xml:space="preserve">A complete list of relevant laws 
and regulations covering worker’s 
rights is provided in the PD. It was 
found that these laws are 
communicated to the employees 
in a statement within the 
employee contracts. </t>
  </si>
  <si>
    <t>As a result of comments from the CCB validation of Phase I, the project proponent has elected to provide a full carbon footprint analysis of the project activities including the ecofactory, water supply, and electricity use. The coefficients were found to be appropriate for the scale of the emissions reported.</t>
  </si>
  <si>
    <t xml:space="preserve">There are two communities that 
were identified in the PD and 
confirmed during the site visit, the 
Taita and the Duruma tribes. </t>
  </si>
  <si>
    <t>m, and Mount Kasigau which uniquely provides for the local population.</t>
  </si>
  <si>
    <t>using carbon revenues for building schools, local employment, and much needed water infrastructure,</t>
  </si>
  <si>
    <t>2011-02-07 00:00:00+00:00</t>
  </si>
  <si>
    <t>2011-03-29 00:00:00+00:00</t>
  </si>
  <si>
    <t>The Kasigau Corridor REDD Project â€“ Phase I Rukinga Sanctuary</t>
  </si>
  <si>
    <t>VCS562</t>
  </si>
  <si>
    <t>https://registry.verra.org/app/projectDetail/VCS/562</t>
  </si>
  <si>
    <t>Leakage mitigation activities include employment 
in a clothing factory, work on project monitoring and Rukinga sanctuary protection, 
development projects through a local women's center, a sustainable charcoal program, 
schooling, and other activities.</t>
  </si>
  <si>
    <t>2019-04-24 00:00:00+00:00</t>
  </si>
  <si>
    <t>JubilaciÃ³n Segura : Agroforestry And Reforestation With Smallscale Farmers in Peru</t>
  </si>
  <si>
    <t>VCS1496</t>
  </si>
  <si>
    <t>https://registry.verra.org/app/projectDetail/VCS/1496</t>
  </si>
  <si>
    <t>The PURE PROJECT SAS</t>
  </si>
  <si>
    <t>['ar-ams0007']</t>
  </si>
  <si>
    <t>The project also complies with work / labour regulatory framework</t>
  </si>
  <si>
    <t>nly Tectona Grandis and Acrocarpus fraxinifolius are exotic species, however non-invasive, and therefore 
not impacting the development of other flora species</t>
  </si>
  <si>
    <t>The forestry sector is limited during the rainy season with respect to wood supply, which leaves a maximum of 5 months appropriate for the efficient use of this resource.</t>
  </si>
  <si>
    <t>across all possible 
producer organizations: cooperatives, producers associations, indigenous communities, districts 
municipalities. The global coherence is ensured through the implementation of standardized proceedings 
defined by Pur Projet, and the endorsement of a common philosophy: local populations’ empowerment, 
ecosystems regeneration, and development of long-term diversified sources of incomes.</t>
  </si>
  <si>
    <t>Environmental and socio_x0002_economic impact monitor</t>
  </si>
  <si>
    <t>n, the securing of land tenure,owner has clear land-use rights with no land tenure conflict</t>
  </si>
  <si>
    <t>Environmental and socio_x0002_economic impact</t>
  </si>
  <si>
    <t>2022-03-08 00:00:00+00:00</t>
  </si>
  <si>
    <t>2022-05-12 00:00:00+00:00</t>
  </si>
  <si>
    <t>Afforestation of degraded grasslands in Caazapa and GuairÃ¡</t>
  </si>
  <si>
    <t>VCS2498</t>
  </si>
  <si>
    <t>https://registry.verra.org/app/projectDetail/VCS/2498</t>
  </si>
  <si>
    <t>Miller Forest Investment AG</t>
  </si>
  <si>
    <t>Increasing women's participation by 40% in barrier-free sectors in a next verification. Guarantee 100% of equal access tohiring of women and men regardless of their ethnic condition or 
sexual orientation is a principle embraced by the company</t>
  </si>
  <si>
    <t>Place100% of safety signs according to work safety rules. Provide employees with 100% of safety required equipment.</t>
  </si>
  <si>
    <t>The project does not affect native ecosystems, nor does it include activities that degrade hydrological functions. In other words, it has no impact on natural forests, does not cause drainage or involves the conversion of wetlands. Compliance with this item is described below: No impact on native ecosystems analysis</t>
  </si>
  <si>
    <t>he project ensures land tenure rights in accordance with the agreements in place or the modality adopted by direct investors, as described in Figure 13</t>
  </si>
  <si>
    <t>2012-11-20 00:00:00+00:00</t>
  </si>
  <si>
    <t>TIST Program in Kenya, VCS 004</t>
  </si>
  <si>
    <t>VCS597</t>
  </si>
  <si>
    <t>https://registry.verra.org/app/projectDetail/VCS/597</t>
  </si>
  <si>
    <t>['ar-ams0001']</t>
  </si>
  <si>
    <t>Small Groups use “rotating leadership” which supports gender equality and develops the capacities of each member.</t>
  </si>
  <si>
    <t>ver2</t>
  </si>
  <si>
    <t>Tree Planting: Tree planting is accomplished by manual methods using hand tools. TIST best practices call for farmers to dig individual holes that are 45 cm wide, 45 cm deep, spaced 2.5 m to 3.5 m apart for each seedling and fertilized using natural fertilizers. TIST does not own any fossil fuel vehicles or equipment to be used for tree planting."call for"</t>
  </si>
  <si>
    <t>Fertilizers. The policy of TIST is for the farmers to refrain from using chemical fertilizers and instead to rely on dung and plant material</t>
  </si>
  <si>
    <t>Direct Effects to Small Groups. TIST benefits thousands of Small Group members by providing a new source of income. Small Group members are paid for each tree they plant and maintain. When the project becomes self-funding from the sale of carbon credits, they will receive 70% of the net carbon revenues.</t>
  </si>
  <si>
    <t>CCB 10 years after registration</t>
  </si>
  <si>
    <t>2019-06-21 00:00:00+00:00</t>
  </si>
  <si>
    <t>2019-10-24 00:00:00+00:00</t>
  </si>
  <si>
    <t>Forest Management to reduce deforestation and degradation in Shipibo Conibo and Cacataibo Indigenous communities of Ucayali region</t>
  </si>
  <si>
    <t>VCS1360</t>
  </si>
  <si>
    <t>https://registry.verra.org/app/projectDetail/VCS/1360</t>
  </si>
  <si>
    <t>AIDER does not discriminate on the basis of gender, 
religion, tribe or political affiliation. Many of the 
activities in this project are implemented by 
community members. Equity of gender policy is 
practice by AIDER</t>
  </si>
  <si>
    <t>hart 10 of the PDD contains a list of the laws relating 
to worker rights. The audit team confirmed that all of 
the relevant laws have been included in the project 
design. During the on-site visit, the audit team verified 
by interviews that workers are informed of their rights</t>
  </si>
  <si>
    <t>ver</t>
  </si>
  <si>
    <t>.5 Strengthen indigenous organizations to the understanding of REDD+ and WPS. A process of prior consultation 
was developed and the free, prior and informed 
consent was obtained from the communities. The 
consent of each community has been documented by 
act.</t>
  </si>
  <si>
    <t>benefit sharing mechanism</t>
  </si>
  <si>
    <t>2017-05-31 00:00:00+00:00</t>
  </si>
  <si>
    <t>Katingan Peatland Restoration and Conservation Project</t>
  </si>
  <si>
    <t>VCS1477</t>
  </si>
  <si>
    <t>https://registry.verra.org/app/projectDetail/VCS/1477</t>
  </si>
  <si>
    <t>PT. Rimba Makmur Utama (PT. RMU)</t>
  </si>
  <si>
    <t>e. It provides employment opportunities irrespective of gender, 
age, social class or ethnicity and other factors, although the priority goes to the project-zone 
communities. Semi-structured focus group 
discussions (FGDs), using standard questionnaires. Each FGD consisted of men and women from 
different community groups and with different age groups and social status. T</t>
  </si>
  <si>
    <t>Under the project 
scenario all area 
identified as being of 
cultural or religious 
significance within the 
project area will be fully 
protected in close 
collaboration with the 
respective village 
communities. The 
project will also seek to 
assist communities to 
protect such areas 
within the wider project 
zone as far as possible.</t>
  </si>
  <si>
    <t>r. The partnership agreements are a binding document which explains PT. RMU’s commitment to ensuring net positive impacts and benefit sharing for the project-zone communities</t>
  </si>
  <si>
    <t>Ghana</t>
  </si>
  <si>
    <t>2016-07-01 00:00:00+00:00</t>
  </si>
  <si>
    <t>Reforestation of Degraded Forest Reserves in Ghana</t>
  </si>
  <si>
    <t>VCS987</t>
  </si>
  <si>
    <t>https://registry.verra.org/app/projectDetail/VCS/987</t>
  </si>
  <si>
    <t>Form Ghana Ltd</t>
  </si>
  <si>
    <t>['ar-am0003']</t>
  </si>
  <si>
    <t>Fair wages (above national minimum) • Health insurance provided</t>
  </si>
  <si>
    <t xml:space="preserve"> Liberation of indigenous seedlings and saplings by removing invasive species</t>
  </si>
  <si>
    <t xml:space="preserve">In degraded forest areas with more remaining tree cover, PP prevents further degradation by the prevention of further logging, conversion to agricultural land and wildfires in these areas. Besides these protective measures, assisted natural regeneration (ANR) is applied to increase the speed of forest restoration in these areas. ANR techniques include: • Liberation of indigenous seedlings and saplings by removing invasive species such as the woody Broussonetia papyrifera (York), the herbaceous Chromolaena odorata (Akyeampong) and grasses. • Climber cutting. • Enrichment planting with indigenous tree species.Buffer vegetation (reforestation type III)
Riparian areas and forest remnants need protective cover of native vegetation to prevent erosion 
and pollution of water courses. Forest conservation strips of at least 30m wide are required to 
separate rivers from productive plantations. Apart from the prevention of erosion, sedimentation 
and water pollution, the buffer zones are developed to restore and maintain an ecological network 
of natural forest supporting a wide range of plant and animal species. </t>
  </si>
  <si>
    <t>The use of pesticides, biodegradable only, is reduced to a minimum</t>
  </si>
  <si>
    <t>Health and safety in monitoring plan, but didn’t specify whose</t>
  </si>
  <si>
    <t>ensuring that 10% of the revenues flow back to the Forestry Commission, traditional landowners and the local communities</t>
  </si>
  <si>
    <t>A stakeholders committee consisting of traditional landowners, farmers, environmental NGOs, the
Forestry Commission and FORM Ghana has been set up in 2009</t>
  </si>
  <si>
    <t>n. Subjects covered during monitoring are:</t>
  </si>
  <si>
    <t>2014-01-17 00:00:00+00:00</t>
  </si>
  <si>
    <t>The Purus Project</t>
  </si>
  <si>
    <t>VCS963</t>
  </si>
  <si>
    <t>https://registry.verra.org/app/projectDetail/VCS/963</t>
  </si>
  <si>
    <t>"Moura &amp; Rosa also have an explanatory letter on labor rights that will be presented to all of their employees to ensure workers are informed about their rights."</t>
  </si>
  <si>
    <t>As there are no indigenous communities within the 
project zone,The Resident, with free, prior and informed consent, hereby acknowledges</t>
  </si>
  <si>
    <t>ngoing enforcement is required to prevent encroachment by outside actors. The 
Purus Project employs forest patrols to prevent encroachment by outside actors 
into the project area. Risk rating as 2</t>
  </si>
  <si>
    <t>The sharing of profits from the sale of carbon credits will last throughout the Project Crediting Period. T</t>
  </si>
  <si>
    <t>2014-12-16 00:00:00+00:00</t>
  </si>
  <si>
    <t>2015-01-06 00:00:00+00:00</t>
  </si>
  <si>
    <t>Araku Valley Livelihood Project</t>
  </si>
  <si>
    <t>VCS1328</t>
  </si>
  <si>
    <t>https://registry.verra.org/app/projectDetail/VCS/1328</t>
  </si>
  <si>
    <t>Livelihoods Fund SICAV SIF</t>
  </si>
  <si>
    <t>Therefore the project areas were not cleared of 
any native forest ecosystems for the purpose of creating GHG credits. Anti monocultural</t>
  </si>
  <si>
    <t>Stop felling trees – use fruit trees for sustainable development, 
 Stop burning biomass - use cleared bushes as fence/compost material, 
 Stop Chemical invasion – use organics &amp; biodynamic methods.</t>
  </si>
  <si>
    <t> Stop Chemical invasion – use organics &amp; biodynamic methods.Water (Prevention and Control of Pollution) Act, 1974 with Rules
 Air (Prevention and Control of Pollution) Act, 1981 with Rule</t>
  </si>
  <si>
    <t>The tribal communities living in the project area are Bhagathas, Valmikies, Kamaras, Porjas and Kondhs.</t>
  </si>
  <si>
    <t>has developed a standardized and transparent process to identify and guarantee legal ownership of the project area parcels (see below) and to access land eligibility of the planting plots</t>
  </si>
  <si>
    <t>2017-07-05 00:00:00+00:00</t>
  </si>
  <si>
    <t>Reduced Emissions from Deforestation and Degradation in Keo Seima Wildlife Sanctuary</t>
  </si>
  <si>
    <t>VCS1650</t>
  </si>
  <si>
    <t>https://registry.verra.org/app/projectDetail/VCS/1650</t>
  </si>
  <si>
    <t>Review of potential negative project impacts on communities and proposed mitigation measures</t>
  </si>
  <si>
    <t>Village level land-use planning to map and protect spiritual sites o Law enforcement to protect spiritual sites from outside threats o Appropriate zoning of the SPF that recognises spiritual sites</t>
  </si>
  <si>
    <t xml:space="preserve">Create model for benefit sharing (direct and indirect)all relevant villages within 2 
years of first carbon sale </t>
  </si>
  <si>
    <t>2013-11-25 00:00:00+00:00</t>
  </si>
  <si>
    <t>TIST Program in Uganda, VCS 005</t>
  </si>
  <si>
    <t>VCS993</t>
  </si>
  <si>
    <t>https://registry.verra.org/app/projectDetail/VCS/993</t>
  </si>
  <si>
    <t>We strive for gender equality. Almost 45% of our Cluster Servants/Quantifiers, Auditors, Cluster Leaders and Leadership Council are female. Females hold positions of responsibility like program coordinator and expansion. When Seminars are held, Clusters must send at least one man and one woman. When a Cluster shows up with all males, they are sent home with instructions to send a woman.</t>
  </si>
  <si>
    <t>Tree Planting: Tree planting is accomplished by manual methods using hand tools. TIST best practices call for farmers to dig individual holes that are 45 cm wide, 45 cm deep, spaced 2.5 m to 3.5 m apart for each seedling and fertilized using natural fertilizers. T</t>
  </si>
  <si>
    <t xml:space="preserve">ecause of the nature of TIST, there are no waste products. Fallen leaves are left to decay back into the 
soil. Fallen woody material, from twigs to trees, are consumed as fuelwood, or used as construction 
material. It is TIST's policy to not use chemical fertilizers and pesticides. </t>
  </si>
  <si>
    <t>The predominant ethnicity of the people in the Project Zone and of the TIST members is Ankole. Ethnic groups: The peoples are predominantly Bantu. The dominant ethnic group is Ankole. No indigenous peoples or tribes occupy the communities within the project zone.</t>
  </si>
  <si>
    <t>m. The Project Proponent gets one thing from this program, carbon credits. In exchange, the famers get a prepayment based on tree count and will ultimately receive 70% of the profits.</t>
  </si>
  <si>
    <t>Colombia</t>
  </si>
  <si>
    <t>2019-10-25 00:00:00+00:00</t>
  </si>
  <si>
    <t>2019-11-08 00:00:00+00:00</t>
  </si>
  <si>
    <t>MutatÃ¡ REDD+ Project</t>
  </si>
  <si>
    <t>VCS1399</t>
  </si>
  <si>
    <t>https://registry.verra.org/app/projectDetail/VCS/1399</t>
  </si>
  <si>
    <t>Cabildo Mayor IndÃ­gena de MutatÃ¡</t>
  </si>
  <si>
    <t>['vm0006']</t>
  </si>
  <si>
    <t>The project intends to develop additional procedures by verification to ensure that 
positions are open to women; Women were included in public meetings during the audit process;Several 
impact monitoring indicators are designed to measure participation of women and especially 
disadvantaged individuals. Women were present in the governing boards of each consejo visited.</t>
  </si>
  <si>
    <t>h. The project will not promote reliance on agricultural chemicals but if any are used safe operating procedures will be provided for future verification.</t>
  </si>
  <si>
    <t>the project may not realize sufficient resources to provide adequate legal employment to a sufficient number of community members. Related to this is the potential conflict between families that are logging illegally and the beneficiaries of the carbon project. T</t>
  </si>
  <si>
    <t>2011-07-14 00:00:00+00:00</t>
  </si>
  <si>
    <t>2012-04-03 00:00:00+00:00</t>
  </si>
  <si>
    <t>TIST Program in Kenya, VCS 001</t>
  </si>
  <si>
    <t>VCS594</t>
  </si>
  <si>
    <t>https://registry.verra.org/app/projectDetail/VCS/594</t>
  </si>
  <si>
    <t>Through community socialization meetings, the BioREDD+ team undertook a participatory process, to identify any 
potential risks to community members.. Specifically, while forest conservation can often 
involve trade-offs with food security by limiting access to non-timber forest products or regulating against the 
clearing of new land for agriculture, the communities determined that this project will not involve any such trade_x0002_offs for them. the project may not realize sufficient resources to provide adequate legal 
employment to a sufficient number of community members. Related to this is the potential conflict between 
families that are logging illegally and the beneficiaries of the carbon project. To mitigate...</t>
  </si>
  <si>
    <t>2012-03-20 00:00:00+00:00</t>
  </si>
  <si>
    <t>TIST Program in Kenya, VCS 005</t>
  </si>
  <si>
    <t>VCS737</t>
  </si>
  <si>
    <t>https://registry.verra.org/app/projectDetail/VCS/737</t>
  </si>
  <si>
    <t>l. A gender balance is kept.Almost 45% of our Cluster Servants/Quantifiers, Auditors, Cluster Leaders and Leadership Council are female. Females hold positions of responsibility like program coordinator and expansion. When Seminars are held, Clusters must send at least one man and one woman. When a Cluster shows up with all males, they are sent home with instructions to send a woman.</t>
  </si>
  <si>
    <t>Mt Kenya is important to the cultural identity of Kikuyu and Meru. Their tribal beliefs are that their gods 
lived on the mountain.The project will not have a negative effect on the HCV areas. T</t>
  </si>
  <si>
    <t>The farmers could use too much of their farm land for tree planting and jeopardize their food security. T</t>
  </si>
  <si>
    <t>Second, under the terms of the Project Participant’s contracts with the TIST Small Groups, the farmers receive an annual advance on their potential carbon revenues, which eliminates the need for credit.</t>
  </si>
  <si>
    <t>Sierra Leone</t>
  </si>
  <si>
    <t>2016-04-25 00:00:00+00:00</t>
  </si>
  <si>
    <t>Gola REDD project</t>
  </si>
  <si>
    <t>VCS1201</t>
  </si>
  <si>
    <t>https://registry.verra.org/app/projectDetail/VCS/1201</t>
  </si>
  <si>
    <t>Gola Rainforest Conservation LG</t>
  </si>
  <si>
    <t>This commitment is demonstrated through our employee handbook and through practice</t>
  </si>
  <si>
    <t>G4.6 The Gola Employee Handbook includes a dedicated section on ‘Health and Safety’ which covers ‘Protective clothing and equipment’ and ‘Accidents at work’.</t>
  </si>
  <si>
    <t>The majority (86%) of people residing in forest edge communities describe themselves as being ‘Mende’; other ethnic groups are Gola, Fula, Mandingo, Vai, Kissi, Limba, Gbandi, and Temne. There are no obvious ethnic tensions between these groups. The primary religion found in the area is Islam (93.1% of people); the remaining inhabitants are largely Christian and religious groups in the region live in harmony. Within a village people are seen as either citizens (tali) or strangers (hota). Citizens belong to land owning families which can recognize a common founding ancestor and trace patrilineal descent (Bulte et al. 2013:10). Strangers are people that were not born in the Chiefdom; some may marry a citizen or be accepted as a community member by way of their profession.seek community 
consent</t>
  </si>
  <si>
    <t>The Convention Concerning the Protection of the World Culture and National Heritage</t>
  </si>
  <si>
    <t xml:space="preserve">The Benefit sharing agreement will be periodically renewed through out the project.The Benefit sharing 
agreement will be periodically 
renewed through out the project. </t>
  </si>
  <si>
    <t>Mexico</t>
  </si>
  <si>
    <t>2019-07-11 00:00:00+00:00</t>
  </si>
  <si>
    <t>2019-08-08 00:00:00+00:00</t>
  </si>
  <si>
    <t>Reforestation with Teak  CO2e TEAKMEX</t>
  </si>
  <si>
    <t>VCS1740</t>
  </si>
  <si>
    <t>https://registry.verra.org/app/projectDetail/VCS/1740</t>
  </si>
  <si>
    <t>Agropecuaria Santa Genoveva S.A.P.I. de C.V</t>
  </si>
  <si>
    <t>To support women’s groups</t>
  </si>
  <si>
    <t>To resolve the workers' concerns regarding this point, the company will socialize its agrochemical protocol.Also, 66% of the workers stated that they have received training and 50% considered this training 
good.</t>
  </si>
  <si>
    <t>Flora and Fauna Relocation of fauna specie</t>
  </si>
  <si>
    <t>This involves specifying the doses, the preventive measures to be followed, the appropriate equipment for handling and emphasizing that 100% of the agrochemicals used in the plantation are of low toxicity and are on the list of products allowed by the FSC.</t>
  </si>
  <si>
    <t>2017-10-09 00:00:00+00:00</t>
  </si>
  <si>
    <t>REDD+ Project Resguardo Indigena Unificado Selva de Mataven (RIU SM)</t>
  </si>
  <si>
    <t>VCS1566</t>
  </si>
  <si>
    <t>https://registry.verra.org/app/projectDetail/VCS/1566</t>
  </si>
  <si>
    <t>The audit team confirmed that the gender 
participation strategies are being executed to the indigen community.y, it is evidenced that community.participation in the project has been inclusive, according to individual and independent capacities 
of gender, cultural identity, and religio</t>
  </si>
  <si>
    <t>• Strategic 6: Implement sustainable fish stocks in wetlands to contribute to food guarantee of 
communities.
The actions about surveillance and control of territory include the care of water sources and aquatic 
fauna, from which part of the diet is derived.
In addition, the ornamental fish production project includes training about the proper management of the 
populations of this resource, in such a way that it is not depleted.
The purpose is that fish populations do not become extinct, and that indigenous communities can make 
sustainable use of this resource.</t>
  </si>
  <si>
    <t>For indigenous peoples, this close relationship with nature also has powerful social, cultural and spiritual dimensions that are the basis of their collective cultural identity, cultural heritage, spirituality, language, customs and daily practices that date back to the time immemorial of their ancestors.Location of High Conservation Value – HCV 6: Cultural value</t>
  </si>
  <si>
    <t>4.3.2 Mitigation of Negative Impacts on Other Stakeholders (CM3.2)
As no specific negative impacts on the welfare of other stakeholders are anticipated with the implementation 
of the Project Activities, therefore, no specific mitigation measures have been foreseen in this regard. 
However, the "Measure to mitigate any negative impacts arising from internal conflicts, within communities" 
applies, as described in Section 4.2.2.</t>
  </si>
  <si>
    <t>Benefit-sharing 
mechanisms</t>
  </si>
  <si>
    <t>2022-02-10 00:00:00+00:00</t>
  </si>
  <si>
    <t>2022-12-26 00:00:00+00:00</t>
  </si>
  <si>
    <t>Reforestation of Degraded Lands in Sierra Leone</t>
  </si>
  <si>
    <t>VCS2401</t>
  </si>
  <si>
    <t>https://registry.verra.org/app/projectDetail/VCS/2401</t>
  </si>
  <si>
    <t>Miro Forestry Developments Limited</t>
  </si>
  <si>
    <t>Gender equality and women’s empowerment: MFSL has a Gender Action Plan26, t</t>
  </si>
  <si>
    <t>Labour and employment: The Company trains its workers on compliance with all national 
regulations, implements periodical trainings, and has several procedures that aims for labour 
and employment safety such as: driver rules, Ebola action plan, health and awareness 
campaign, snakebite identification, emergency plan. Such documents are provided in the 
supporting information folder24,25.</t>
  </si>
  <si>
    <t>ver 4</t>
  </si>
  <si>
    <t>To achieve this, the 
Company uses a forest management information system called “Microforest”. Microforest is a 
web-based plantation management system that encompasses the entire lifecycle of forestry 
operations. which allows permanent planning and efficient control.</t>
  </si>
  <si>
    <t>In the same thread, the ESIA concluded that the project will not generate MFSL has a detailed Domestic Waste Management Plan
significant air emission pollutants nor significantly pollute the waterways.</t>
  </si>
  <si>
    <t>ver4</t>
  </si>
  <si>
    <t xml:space="preserve">Special 
consideration is given to important land planning issues such as land slope, water bodies, identification 
of any cultural sites, Managing natural resources: Areas of special interest are identified and managed according to 
special procedures. cultural, sites, </t>
  </si>
  <si>
    <t xml:space="preserve">n return, the land-owning community obtains the payment for the lease and a 
benefit-sharing is arranged, payable into a community development fund. Additionally, a sharing agreement is enclosed to the 
lease providing 5% of net profit to be paid into a community development fund. </t>
  </si>
  <si>
    <t>SIVIRÃš-USARAGÃ-PIZARRO-PILIZÃ (SUPP) REDD+ Project</t>
  </si>
  <si>
    <t>VCS1391</t>
  </si>
  <si>
    <t>https://registry.verra.org/app/projectDetail/VCS/1391</t>
  </si>
  <si>
    <t>antidiscrimination hiring practices (see Section 2.6.2), and grievance redress procedures in place (see Section 2.7.5).6.3.4 PARTICIPATION AND IMPACTS ON WOMEN</t>
  </si>
  <si>
    <t>the project will prevent
deforestation through a suite of project activities including: strengthening land tenure status and forest
governance; supporting the development of sustainable forest and land use management plans; demarcating
forest, tenure and ownership boundaries, and areas of forest protection; providing assistance for sustainable
intensification of agriculture on existing agricultural lands; and providing alternative livelihoods to the agents of
deforestation.</t>
  </si>
  <si>
    <t xml:space="preserve">Furthermore, the
availability of these forest products is integral to the conservation of important oral and musical cultural practices.
Examples of forest associated species important to spiritual practices are documented in the project REDD Plan
and archives.
For these reasons cultural identity is considered and High Conservation Value for the project zone. </t>
  </si>
  <si>
    <t>6.3.5 BENEFIT SHARING MECHANISM</t>
  </si>
  <si>
    <t>Guatemala</t>
  </si>
  <si>
    <t>2018-04-10 00:00:00+00:00</t>
  </si>
  <si>
    <t>REDD+ Project for Caribbean Guatemala: The Conservation Coast</t>
  </si>
  <si>
    <t>VCS1622</t>
  </si>
  <si>
    <t>https://registry.verra.org/app/projectDetail/VCS/1622</t>
  </si>
  <si>
    <t>Fundacion para el Ecodesarrollo y la Conservacion [FUNDAECO]</t>
  </si>
  <si>
    <t xml:space="preserve"> will be organized by the Social and Gender Director；implemented in a
culturally appropriate and gender
sensitive manner.</t>
  </si>
  <si>
    <t xml:space="preserve">In the project region both of them are founded.
A network of sacred sites where Queqchi and Garifuna communities practice religious rituals have been
identified; each site is composed by several points, specially caves or small mountains called “cerros”:
Ten watersheds were identified as HCVs .
The project is dedicated to maintaining these community HCVs through several targeted project
activities. </t>
  </si>
  <si>
    <t>The following negative impacts and their
mitigation measures were identified:</t>
  </si>
  <si>
    <t>VCU generation, Sales and Income, and will transparently report on benefit share
allocations, as established in the Benefit Share structure in the Carbon Contracts for the Project.</t>
  </si>
  <si>
    <t>China</t>
  </si>
  <si>
    <t>2022-09-28 00:00:00+00:00</t>
  </si>
  <si>
    <t>Gansu Tianshui Afforestation Project</t>
  </si>
  <si>
    <t>VCS2391</t>
  </si>
  <si>
    <t>https://registry.verra.org/app/projectDetail/VCS/2391</t>
  </si>
  <si>
    <t>Tianshui Forestry Science Institute</t>
  </si>
  <si>
    <t>It can be seen that respondents are representative of the public opinions in terms of their gender, age and educational levels. To enable the effective participation of all communities in a culturally appropriate and gender
sensitive manner, the project owner particularly encouraged the participation of women and minority residents</t>
  </si>
  <si>
    <t>Benefit Sharing Mechanisms (GL2.6)
N/A.</t>
  </si>
  <si>
    <t>Tanzania</t>
  </si>
  <si>
    <t>2020-11-18 00:00:00+00:00</t>
  </si>
  <si>
    <t>2020-12-14 00:00:00+00:00</t>
  </si>
  <si>
    <t>Makame Savannah REDD</t>
  </si>
  <si>
    <t>VCS1900</t>
  </si>
  <si>
    <t>https://registry.verra.org/app/projectDetail/VCS/1900</t>
  </si>
  <si>
    <t>Carbon Tanzania</t>
  </si>
  <si>
    <t>, the human resource (HR) policy provides a clear statement on discrimination relating to gender,
religion or sexual discrimination.Number of women expected to be employed as a result
of project activities, e</t>
  </si>
  <si>
    <t>The RMZP sets out to develop MWMA as a tourist destination and as such shall
engage the MWMA in anti-poaching and law enforcement to protect their cultural
heritage and economic opportunities for growth. Protect and maintain the culture and traditions of Makame WMA community members;</t>
  </si>
  <si>
    <t>Impact Increased frequency of human-wildlife conflicts
Type of Benefit/Cost/Risk Predicted, direct risk
Change in Well-being Increased negative attitudes toward wildlife; increased insecurity of
people in the landscape</t>
  </si>
  <si>
    <t>All financial benefits conferred from the project to the communities will go directly to the WMA structure and thus we can be confident in the benefit sharing mechanism.</t>
  </si>
  <si>
    <t>2021-12-07 00:00:00+00:00</t>
  </si>
  <si>
    <t>2022-12-27 00:00:00+00:00</t>
  </si>
  <si>
    <t>Gansu Dingxi Afforestation Project</t>
  </si>
  <si>
    <t>VCS2405</t>
  </si>
  <si>
    <t>https://registry.verra.org/app/projectDetail/VCS/2405</t>
  </si>
  <si>
    <t>Dingxi City Chankou Forestry Proving Ground</t>
  </si>
  <si>
    <t>Among the intangible cultural heritages in Dingxi city, there are the Flower Association, ... in the Representative list of oral intangible cultural
heritages of mankind by the United Nations Social Education, Cultural and Health Organization.
And there are 40 representative inheritors of intangible cultural heritage at the provincial level and
117 representative inheritors at the municipal level.</t>
  </si>
  <si>
    <t>Estonia</t>
  </si>
  <si>
    <t>2024-11-08 00:00:00+00:00</t>
  </si>
  <si>
    <t>2025-03-20 00:00:00+00:00</t>
  </si>
  <si>
    <t>Ecobase Europe Afforestation Project</t>
  </si>
  <si>
    <t>VCS3677</t>
  </si>
  <si>
    <t>https://registry.verra.org/app/projectDetail/VCS/3677</t>
  </si>
  <si>
    <t>ECOBASE (PROJECT SPRUCE OÃœ)</t>
  </si>
  <si>
    <t>The Project will involve educating landowners on climate change related risks and related species 
selection. The Project will also educate the landowners in uncommon carbon sequestration 
enhancing forest management methods such as continuous cover forestry and also co-benefits 
focused on biodiverse forest creation. Providing a network of seedling, planting and forest 
management firms to the landowners is also something the Project Proponent will do in case the 
landowners do not have a network of providers that they are familiar with.</t>
  </si>
  <si>
    <t xml:space="preserve"> The landowners will receive the majority of the carbon credits based on a shared structure 
agreed upon with Ecobase (Project Spruce OÜ)</t>
  </si>
  <si>
    <t>2019-05-23 00:00:00+00:00</t>
  </si>
  <si>
    <t>Agrocortex REDD Project</t>
  </si>
  <si>
    <t>VCS1686</t>
  </si>
  <si>
    <t>https://registry.verra.org/app/projectDetail/VCS/1686</t>
  </si>
  <si>
    <t>Agrocortex Madeiras do Acre Agroflorestal Ltda.</t>
  </si>
  <si>
    <t>Social resource: Associations and cooperatives; Women inclusion</t>
  </si>
  <si>
    <t>Clarification lecture on labor legislationAll workers, including 
outsourced workers, are hired in accordance with labor and social security legislation</t>
  </si>
  <si>
    <t>4. Biodiversity monitoring: Evaluates whether the company has actions to identify and monitor 
the local fauna and flora.a partnership with “Viveiro da Floresta” was made to collect seeds and 
exchange seedlings of native species. with native species started</t>
  </si>
  <si>
    <t xml:space="preserve"> Sustainable Forest Management Plan,</t>
  </si>
  <si>
    <t>Air pollution, noise and soil erosion will be monitored through the conflict management indicator. The following measures were planned by Agrocortex to mitigate this risk:  Monitor vehicles for their compliance on driving speed;  Establish speed bumps and spray roads with water near populated areas  Establish and monitor time limits for harvest transportation to avoid disturbing locals during rest periods.</t>
  </si>
  <si>
    <t>Figure 14. Public lands, such as Settlement Projects, Protected Areas and Indigenous Territories within 
the project regionFurthermore, The National Indigenous Foundation (Fundação Nacional do Índio –
FUNAI) certifies that there are no indigenous communities within the project area and 
surroundings60
.</t>
  </si>
  <si>
    <t>According to The National Historical and Artistic Heritage Institute (Instituto Nacional do 
Patrimônio Histórico e Artístico – Iphan), there is no presence of archaeological or historical 
sites within the project area58. The social survey conducted during the development of the 
SFMP did not find any area of historical and cultural importance by the communities in the 
region59</t>
  </si>
  <si>
    <t>Sustainable forest management Vehicle transport Air Pollution, Noise and soil erosion X - Human resource: Conflict management</t>
  </si>
  <si>
    <t>SOCIALCARBON Indicators that will monitor 
Beneficial Adverse the identified potential risks</t>
  </si>
  <si>
    <t>2014-06-13 00:00:00+00:00</t>
  </si>
  <si>
    <t>Cordillera Azul National Park REDD Project</t>
  </si>
  <si>
    <t>VCS985</t>
  </si>
  <si>
    <t>https://registry.verra.org/app/projectDetail/VCS/985</t>
  </si>
  <si>
    <t>CIMA, Cordillera Azul</t>
  </si>
  <si>
    <t>345
community representatives were hired, 19% women.two focus groups
included only women,# of communities with women
as active participants in
REDD project interventions</t>
  </si>
  <si>
    <t xml:space="preserve">To measure impact using the ICC, CIMA analyzes specific outputs and determines whether the impact
required to move up the ICC ladder has been achieved. The results of the analysis combining social and
biological data are depicted in maps through GIS. Based on the results the team makes strategic
decisions on how and where to reallocate efforts and resources, if necessary to improve efficiency and
address rising threats or opportunities. </t>
  </si>
  <si>
    <t>Project activities are limited to community engagement and enforcement support. No pollution-generating actions are indicated, but no explicit risk screening is documented.</t>
  </si>
  <si>
    <t>The possibility of non-contacted indigenous people from the Cacataibo group living in the southeast
region of the park led to the establishment of a “strict protection zone” (
The project is expected to ensure that there is no contact with the indigenous people in isolation who use
the park, as well as to protect the area they use.</t>
  </si>
  <si>
    <t>: Examples of ecosystem services provided by PNCAZ to local communities</t>
  </si>
  <si>
    <t>Increased tensions between communities CIMA is initially working with and those that will be worked with
in the future – There is a possibility that communities not located in the critical areas will become jealous
of the communities that have received priority. O</t>
  </si>
  <si>
    <t xml:space="preserve">A specific revenue-sharing agreement was
reviewed and agreed to by the Peruvian government. </t>
  </si>
  <si>
    <t>2014-05-12 00:00:00+00:00</t>
  </si>
  <si>
    <t>TIST Program in Kenya, VCS 009</t>
  </si>
  <si>
    <t>VCS996</t>
  </si>
  <si>
    <t>https://registry.verra.org/app/projectDetail/VCS/996</t>
  </si>
  <si>
    <t>2015-11-06 00:00:00+00:00</t>
  </si>
  <si>
    <t>The Russas Project</t>
  </si>
  <si>
    <t>VCS1112</t>
  </si>
  <si>
    <t>https://registry.verra.org/app/projectDetail/VCS/1112</t>
  </si>
  <si>
    <t>Furthermore, the Survey was
administered with women throughout the Project and
the Project will specifically target their unique needs</t>
  </si>
  <si>
    <t>Throughout 2011, 2012 and 2013, the Russas Project was discussed in greater detail with the
communities to ensure the communities were fully aware of the Russas Project, were able to contribute to
the Project design, able to openly express desired outcomes and concerns, understood the third-party
grievance procedure, and were able to voluntarily give free, prior and informed consent.</t>
  </si>
  <si>
    <t>Profit-Sharing of Carbon Credits</t>
  </si>
  <si>
    <t>Ethiopia</t>
  </si>
  <si>
    <t>2019-12-31 00:00:00+00:00</t>
  </si>
  <si>
    <t>Bale Mountains Eco-region REDD+ project</t>
  </si>
  <si>
    <t>VCS1340</t>
  </si>
  <si>
    <t>https://registry.verra.org/app/projectDetail/VCS/1340</t>
  </si>
  <si>
    <t>Oromia Forest and Wildlife Enterprise</t>
  </si>
  <si>
    <t>However, the project designed strategy to increase women participation where even, the 
project conducted women only meetings, including FPIC.</t>
  </si>
  <si>
    <t>Provision of fuel efficient technology and alternative supply wood for fuel wood and construction 
materials from non-forest lands</t>
  </si>
  <si>
    <t>Cultural Traditional pastoral transhumance system (Godantu) Cultural sites (e.g. Abel Kassim, Gassuray, Alija) Traditional ecological knowledge</t>
  </si>
  <si>
    <t xml:space="preserve">n the case of High Conservation Values (HCVs) 
related to social issues, we can highlight particularly those that are essential to meet the needs of 
local communities (e.g. subsistence, health) </t>
  </si>
  <si>
    <t xml:space="preserve">The communities will also financially benefit from the project through sharing of carbon revenue. 
Benefit sharing arrangement has been negotiated between project proponent and community and a 
consensus was reached. According to the agreement community will receive 60% of carbon revenue 
and the government 40%. </t>
  </si>
  <si>
    <t>2022-04-18 00:00:00+00:00</t>
  </si>
  <si>
    <t>2022-06-29 00:00:00+00:00</t>
  </si>
  <si>
    <t>Afforestation in cooperation with local landowners for Forestal San Pedro S.A</t>
  </si>
  <si>
    <t>VCS2361</t>
  </si>
  <si>
    <t>https://registry.verra.org/app/projectDetail/VCS/2361</t>
  </si>
  <si>
    <t>Forestal San Pedro S.A.</t>
  </si>
  <si>
    <t>Sexual harassment/gender equality
The management team of UNIQUE works according to a code of conduct that explicitly includes the
organization anti-discrimination’s stance regarding gender equality</t>
  </si>
  <si>
    <t>Monitoring of minimum working
standards among contractors and subcontracted personnel. Any deviation of
minimum standards is corrected
immediately.</t>
  </si>
  <si>
    <t>the invasive
potential of eucalypt species is deemed low. A</t>
  </si>
  <si>
    <t>Packaging of potentially toxic waste is disposed according to national regulations and recycled by an accredited company.</t>
  </si>
  <si>
    <t>Packaging of potentially toxic waste is disposed
according to national regulations and recycled by an
accredited company.</t>
  </si>
  <si>
    <t>Main laws indigenous. will not impact local stakeholder’s
property rights without the free, prior and informed consent.</t>
  </si>
  <si>
    <t xml:space="preserve">Application is conducted with baits that
are more environmentally friendly compared liquid spray and less hazardous to human
health. Neighboring community members do not depend on the resources on production sites,
meaning plantations do not restrict local people’s access or use of resources of critical
importance to their livelihoods, or negatively affect ecosystem services. Mostly, community
members have small plots for cultivation and animal husbandry, or work in neighboring
properties. </t>
  </si>
  <si>
    <t xml:space="preserve">Forestal San Pedro has also offered landowners an attractive share of the carbon credits in the
form of a fix annual payment. </t>
  </si>
  <si>
    <t>2017-11-17 00:00:00+00:00</t>
  </si>
  <si>
    <t>â€˜GuanarÃ©â€™ Forest Plantations on degraded grasslands under extensive grazing</t>
  </si>
  <si>
    <t>VCS959</t>
  </si>
  <si>
    <t>https://registry.verra.org/app/projectDetail/VCS/959</t>
  </si>
  <si>
    <t>GuanarÃ© S.A.</t>
  </si>
  <si>
    <t>Number of women expected to be employed</t>
  </si>
  <si>
    <t xml:space="preserve">. All practices 
will be compatible with FSC standard for sustainable forest management. </t>
  </si>
  <si>
    <t>related to</t>
  </si>
  <si>
    <t>2025-03-14 00:00:00+00:00</t>
  </si>
  <si>
    <t>Forestal Apepu Carbon Project</t>
  </si>
  <si>
    <t>VCS2369</t>
  </si>
  <si>
    <t>https://registry.verra.org/app/projectDetail/VCS/2369</t>
  </si>
  <si>
    <t>Forestal Apepu</t>
  </si>
  <si>
    <t>the GCF Gender Policy</t>
  </si>
  <si>
    <t xml:space="preserve">Main laws related to labour.Introduction of the social monitoring system, which among health and safety aspects also
includes the monthly assessment of labour relations, to ensure sub-contracted personnel is
employed according to the conditions of the national labour code, and an annual or bi-annual
assessment of job-satisfaction among sub-contracted personnel. </t>
  </si>
  <si>
    <t>Invasive behavior of exotic species
In some areas, eucalypts have been
described as having an invasive
behavior. However, this has not
been observed in Paraguay until
now. Plantations are only established on demarcated sites, monitored through geospatial data.Conservation sites established... are compatible with legal requirements... buffer zones…</t>
  </si>
  <si>
    <t>Pesticides are used only
when needed, and their management and use is controlledRoad construction... conducted according to best practices to avoid erosion</t>
  </si>
  <si>
    <t>Main laws related to indigenous peoples</t>
  </si>
  <si>
    <t>Forestal Apepu has conducted public consultations for the identification of High Conservation Values (No High Conservatio Values were found). National stakeholders were consulted for the validation of the assessment results, including civil society representatives and national authorities.</t>
  </si>
  <si>
    <t xml:space="preserve">s. Application is conducted with baits that are more environmentally friendly compared liquid spray and less hazardous to human health.Neighboring community members do not depend on the resources on production sites,
meaning plantations do not restrict local people’s access or use of resources of critical
importance to their livelihoods, or negatively affect ecosystem services. Mostly, community
members have small plots for cultivation and animal husbandry, or work in neighboring
properties. </t>
  </si>
  <si>
    <t>the introduction of benefit-sharing models with local community members through socioeconomic productive projects, such as vegetable gardens and outgrower schemes.</t>
  </si>
  <si>
    <t>Introduction of the social monitoring system, which among health and safety aspects also includes the monthly assessment of labour relations, to ensure sub-contracted personnel is employed according to the conditions of the national labour code, and an annual or bi-annual assessment of job-satisfaction among sub-contracted personnel.</t>
  </si>
  <si>
    <t>2022-06-08 00:00:00+00:00</t>
  </si>
  <si>
    <t>2022-12-28 00:00:00+00:00</t>
  </si>
  <si>
    <t>AFFORESTATION OF DEGRADED GRASSLANDS IN VICHADA, COLOMBIA</t>
  </si>
  <si>
    <t>VCS2512</t>
  </si>
  <si>
    <t>https://registry.verra.org/app/projectDetail/VCS/2512</t>
  </si>
  <si>
    <t>Forest First Colombia S.A.S.</t>
  </si>
  <si>
    <t xml:space="preserve">n. A gender equality promotion 
policy is therefore adopted as a mechanism to promote equal opportunities for men and women in access 
to </t>
  </si>
  <si>
    <t>peoples</t>
  </si>
  <si>
    <t>Additionally, according to the Lands Rights Acquisition, the cultural heritage sites are identified and 
delimited to allow free access to the community, as is the case of the cemetery of one of the nearby 
settlements, Venturosa, which is located within the boundary of a property owned by FFC. This area was 
abandoned but FFC delimited it, is now protecting and preserving it, and allows free access for the 
community.48</t>
  </si>
  <si>
    <t>2020-11-23 00:00:00+00:00</t>
  </si>
  <si>
    <t>Ntakata Mountains REDD</t>
  </si>
  <si>
    <t>VCS1897</t>
  </si>
  <si>
    <t>https://registry.verra.org/app/projectDetail/VCS/1897</t>
  </si>
  <si>
    <t>The human resource (HR) policy provides a clear statement on discrimination relating to gender.The project will 
proactively address gender issues by encouraging gender balance in participation in project activities and 
by raising awareness on the importance of including women’s perspectives in decision making.</t>
  </si>
  <si>
    <t>“Matambiko” spiritual sites
Qualifying Attribute Matambiko are unique cultural sites where villagers pray for 
good fortune for themselves and their ancestors.</t>
  </si>
  <si>
    <t xml:space="preserve">There are no negative impacts anticipated on HCV related to community well-being. </t>
  </si>
  <si>
    <t xml:space="preserve">The benefit sharing mechanism was communicated in a 
participatory way to communities in two ways; the 50%-50% split in revenue distribution </t>
  </si>
  <si>
    <t>2022-01-27 00:00:00+00:00</t>
  </si>
  <si>
    <t>Zhangye City Afforestation Project in Gansu Province</t>
  </si>
  <si>
    <t>VCS2370</t>
  </si>
  <si>
    <t>https://registry.verra.org/app/projectDetail/VCS/2370</t>
  </si>
  <si>
    <t>Zhangye Academy of Forestry Sciences</t>
  </si>
  <si>
    <t>It can be seen that respondents are representative of the public opinions in terms of their gender, 
age and educational levels. To enable the effective participation of all communities in a culturally appropriate and gender 
sensitive manner, t</t>
  </si>
  <si>
    <t>2013-11-19 00:00:00+00:00</t>
  </si>
  <si>
    <t>REDD project in Brazil nut concessions in Madre de Dios, Peru</t>
  </si>
  <si>
    <t>VCS868</t>
  </si>
  <si>
    <t>https://registry.verra.org/app/projectDetail/VCS/868</t>
  </si>
  <si>
    <t>Bosques AmazÃ³nicos</t>
  </si>
  <si>
    <t>numberof women</t>
  </si>
  <si>
    <t>Then, because Castañeros REDD Project workers’ will enjoy fair wages (above the
minimum established by the Peruvian government), will have employment benefits
established in Peruvian law (e.g., vacation, bonuses, compensation for length of
service, etc.), and have a high expectation of the duration of their jobs7
, we can ensure
that the project not only ensures compliance with labor standards but also the protection
of the worker through an employment relationship that will improve employment
conditions in the project area</t>
  </si>
  <si>
    <t>A4: Forest enrichment through plantation of native species.Table 33: Environmental impact summary regarding components such as climate, biodiversity
and communities</t>
  </si>
  <si>
    <t>0: Training of actors in forestry management, reduced-impact techniques and use of the Alert System （1 point bc it'sindirect）</t>
  </si>
  <si>
    <t>This standard regulates by maximum allowable values
(VMA) wastewater discharges in non-domestic
sewerage system to avoid deterioration of facilities,
health infrastructure, machinery, equipment and ensure
its proper operation, ensuring the sustainability of
sewerage systems and wastewater treatment</t>
  </si>
  <si>
    <t>Special emphasis was placed on urging
Brazil Nut Concessioners to participate with a PREVIOUS FREE AND INFORMED
CONSEN.conservation and the sustainable use of its
components. Contains provisions concerning planning,
inventory and monitoring, conservation mechanisms,
farming and indigenous communities,</t>
  </si>
  <si>
    <t>Ownership of the Brazil Nut Concessions has been proved through
administrative documentation gathering, which demonstrates concession
granting, as well as updated management tools of each of the Brazil nut
producers. Likewise, inter-institutional relations have been established with the
Public Administration in order to guarantee the above mentioned ownership.</t>
  </si>
  <si>
    <t>social area</t>
  </si>
  <si>
    <t>Guinea-Bissau</t>
  </si>
  <si>
    <t>2021-04-02 00:00:00+00:00</t>
  </si>
  <si>
    <t>2022-05-04 00:00:00+00:00</t>
  </si>
  <si>
    <t>COMMUNITY BASED AVOIDED DEFORESTATION PROJECT IN GUINEA-BISSAU - REDD</t>
  </si>
  <si>
    <t>VCS2324</t>
  </si>
  <si>
    <t>https://registry.verra.org/app/projectDetail/VCS/2324</t>
  </si>
  <si>
    <t>BioGuinea Foundation</t>
  </si>
  <si>
    <t xml:space="preserve">s. Finally, in concern of worker rights, the national labor law (Lei
Geral do Trabalho) is also included. </t>
  </si>
  <si>
    <t>This area, in addition to their national strategic importance, also has an international ecological
function of great importance, serving as habitat for reproduction, growth, feeding and refuge
for several species of cultural, symbolic and economic interests like those classified as rare or
endangered at the world level. Species most noted in this zone include: the manatee
(Trichechus senegalensis); Hippos (Hippopotamus amphibius); Nile crocodiles (Crocodylus
niloticus); Leatherback sea turtle (Dermochelys coriacea); Olive Ridley sea turtle</t>
  </si>
  <si>
    <t>The project will protect the standing forest by
generating net positive impacts on the social and economic wellbeing of the
local communities through technical support and training, efficiency gains in
agricultural production, support to alternative income generation activities, and
so forth.</t>
  </si>
  <si>
    <t>serving as habitat for reproduction, growth, feeding and refuge
for several species of cultural, symbolic and economic interests like those classified as rare or
endangered at the world level</t>
  </si>
  <si>
    <t xml:space="preserve">y. The REDD Project, aware of this social
structure, was designed to follow community decisions, in special, the benefit sharing
mechanism (FIAL) uses a participatory approach to decide who will receive money
and where this money will be invested. </t>
  </si>
  <si>
    <t>Land and resource tenure</t>
  </si>
  <si>
    <t>2023-10-09 00:00:00+00:00</t>
  </si>
  <si>
    <t>2024-04-26 00:00:00+00:00</t>
  </si>
  <si>
    <t>Grouped Reforestation Project by Cropzone Agro Forestry Private Limited</t>
  </si>
  <si>
    <t>VCS2833</t>
  </si>
  <si>
    <t>https://registry.verra.org/app/projectDetail/VCS/2833</t>
  </si>
  <si>
    <t>CropZone Agro Forestry Private Limited</t>
  </si>
  <si>
    <t>The Project Proponent as well as any entity have
not been involved in any form of discrimination or
sexual harassment.</t>
  </si>
  <si>
    <t>National, regional, and/or local laws, statutes or regulatory frameworks on workers’ rights and
safety relevant to the project activity.  They have been
informed already they will have full ownership of
their lands as well as their workers’ rights will be
respected in the stakeholders’ consultation.</t>
  </si>
  <si>
    <t>The lands are prepared simply with minimal disturbance to the soil. Before the plantation of
saplings, pits of appropriate sizes are dug. After that saplings are planted. Fertilization is done
using organic fertilizers like cattle manure when required.</t>
  </si>
  <si>
    <t>The Water (Prevention and Control of Pollution) Act 1974 - Te. The project activity does not discharge any effluent
or conduct any activity which may pollute the water bodies. Therefore, the project does not
violate the act</t>
  </si>
  <si>
    <t>Cultural Activities: - Maharashtra has a richly diverse culture and heritage. It has its own identity in
India for its Ganesh festival, Great monuments and numerous old temples.</t>
  </si>
  <si>
    <t xml:space="preserve"> For example, the participating landowners will get additional
income from the carbon credit revenue.</t>
  </si>
  <si>
    <t>2013-04-10 00:00:00+00:00</t>
  </si>
  <si>
    <t>2013-05-01 00:00:00+00:00</t>
  </si>
  <si>
    <t>FLORESTAL SANTA MARIA PROJECT</t>
  </si>
  <si>
    <t>VCS875</t>
  </si>
  <si>
    <t>https://registry.verra.org/app/projectDetail/VCS/875</t>
  </si>
  <si>
    <t>One of the most important values in the FSM REDD Project and among team members is praising for respect regarding culture, gender, and sexual orientation, and not being involved in any form of sexual harassment, as demonstrated in the collective agreement regarding workers' best interests for the years 2021 to 2023 (p.11) 56</t>
  </si>
  <si>
    <t>For the safety of workers, the farm follows the collective agreement regarding workers' best interests for
the years 2021 to 2023 prepared by the labor unions associated with logging activities and developed
the Occupational Health Medical Control Program for the years 2022 and 2023, both attached</t>
  </si>
  <si>
    <t>The FSM farm is certificated by FSC.These decisions will be made during the periodic meetings to review the Activity Plan.</t>
  </si>
  <si>
    <t>. Besides that, there is no use of fertilizers, chemical pesticides, biological control
agents, and other inputs in the activities.</t>
  </si>
  <si>
    <t>The mapped potential negative impacts for local stakeholders are listed below:</t>
  </si>
  <si>
    <t>2011-08-24 00:00:00+00:00</t>
  </si>
  <si>
    <t>2011-12-21 00:00:00+00:00</t>
  </si>
  <si>
    <t>Multi-Species Reforestation in Mato Grosso, Brazil</t>
  </si>
  <si>
    <t>VCS665</t>
  </si>
  <si>
    <t>https://registry.verra.org/app/projectDetail/VCS/665</t>
  </si>
  <si>
    <t>['ar-ams0006']</t>
  </si>
  <si>
    <t xml:space="preserve">To minimize this kind of risk, or any other risk that could affect safety of workers, all activities are first
planned, from the forest management plan until the field activities with protocols.All the staff working for the project is employed through a contract depending of the Federal and State
laws, in order to ensure the rights of all the manpower working in relation with the proposed project
activities. The contracts are managed locally by the team ONF Brasil. </t>
  </si>
  <si>
    <t xml:space="preserve">All these species are not
considered as invasive species (IUCN Global Invasive Species Database) and none of them is genetically
modified organism (GMO) as their seeds were collected from surrounding natural forest, except for
Tectona grandis (from CATIE) that is not GMO neither. </t>
  </si>
  <si>
    <t xml:space="preserve">Some fertilizers were used the first year of plantation, and on a few hectares, in order to implement
studies. Since then, no fertilizer was used in the framework of the proposed project activities.the project area as the natural forest included in the fazenda is managed in order to ensure
sustainability of the natural resource collected as castañha </t>
  </si>
  <si>
    <t>ver 2</t>
  </si>
  <si>
    <t>The studies are based on interviews of a
random sample of surrounding local population, and provide analysis on the following elements:
• Current dynamic (demography, land-use,
actors)
• Infrastructure (education, health, roads,
energy, houses and equipment)
• Profiles of local population
• Production systems (activities, tasks
sharing, conflicts, deforestation and
biomass burning)
• Social actors
• Perception of the project</t>
  </si>
  <si>
    <t>Concosta REDD+ Project</t>
  </si>
  <si>
    <t>VCS1400</t>
  </si>
  <si>
    <t>https://registry.verra.org/app/projectDetail/VCS/1400</t>
  </si>
  <si>
    <t>Concosta Community Council</t>
  </si>
  <si>
    <t>Finally, as requested on CCB Standards Third Edition G3, the Implementation Framework 
Agreement (Annex AV) describes measures needed and taken in order to ensure that the 
project proponent (Communities) and all other entities involved in project design (BioREDD+) 
and implementation (Fondo Acción), are not involved in harassment or discrimination, including 
discrimination based on gender, race, religion, sexual orientation or other habits.</t>
  </si>
  <si>
    <t>Only sustainable farming techniques are being 
promoted, and on lands that are already under agricultural production or degraded lands apt 
for agricultural production consistent with land use management plan</t>
  </si>
  <si>
    <t xml:space="preserve">Consultation with the communities found that sacred sites (and medicinal plants as noted 
above for fundamental needs) are important to the traditional cultural identity of the 
communities, including cemeteries. In addition, the cultural identity in general is highly linked 
to a long history of dwelling in the forestlands. Festivities and social interaction are all related 
to the surrounding forestlands. Music and arts are present in the area and are strong 
component of their cultural endowment. </t>
  </si>
  <si>
    <t>However, some potential negative impacts on the communities could result from 
improper use of pesticides</t>
  </si>
  <si>
    <t>The design and implementation of a benefits sharing mechanism will be developed in a 
participatory manner with community members, based on existing Development Plans.</t>
  </si>
  <si>
    <t>Malawi</t>
  </si>
  <si>
    <t>2015-03-25 00:00:00+00:00</t>
  </si>
  <si>
    <t>Kulera Landscape REDD+ Program for Co-Managed Protected Areas, Malawi</t>
  </si>
  <si>
    <t>VCS1168</t>
  </si>
  <si>
    <t>https://registry.verra.org/app/projectDetail/VCS/1168</t>
  </si>
  <si>
    <t>Annual gender assessments to determine how benefits are accruing to women will also be carried out. A results-based framework outlining the required steps to improve and monitor the participation and benefits of women has been devised and carried out by the Project. T</t>
  </si>
  <si>
    <t>Reducing Fuelwood Consumption and Increasing Energy Efficiency by 
Introducing Fuel Efficient Cookstoves</t>
  </si>
  <si>
    <t>. However, based on the social surveys and 
PRAs that are part of the Project, the Project Areas would meet the qualifications of HCV5 and possibly 
HCV6. S</t>
  </si>
  <si>
    <t>Household Surveys-Household food security</t>
  </si>
  <si>
    <t xml:space="preserve">The National Parks and Wildlife Act provides for sharing of 50% of Park entry fees and 20% of concession 
fees with communities. </t>
  </si>
  <si>
    <t>2021-08-24 00:00:00+00:00</t>
  </si>
  <si>
    <t>2022-05-25 00:00:00+00:00</t>
  </si>
  <si>
    <t>Tumring REDD+ Project</t>
  </si>
  <si>
    <t>VCS1689</t>
  </si>
  <si>
    <t>https://registry.verra.org/app/projectDetail/VCS/1689</t>
  </si>
  <si>
    <t>The Royal Government of Cambodia, Forestry Administration</t>
  </si>
  <si>
    <t>TRP has policy for equal opportunity, including gender, but no women participate policy</t>
  </si>
  <si>
    <t>P125</t>
  </si>
  <si>
    <t>table 33</t>
  </si>
  <si>
    <t>proceeds will be useed for improving health facilities and care</t>
  </si>
  <si>
    <t>2021-04-13 00:00:00+00:00</t>
  </si>
  <si>
    <t>2021-06-29 00:00:00+00:00</t>
  </si>
  <si>
    <t>Evio KuiÃ±aji EseÂ´Eja Cuana, To Mitigate Climate Change, Madre de Dios - PerÃº</t>
  </si>
  <si>
    <t>VCS1218</t>
  </si>
  <si>
    <t>https://registry.verra.org/app/projectDetail/VCS/1218</t>
  </si>
  <si>
    <t>- Apply a gender approach from planning and implementation of monitoring activities to the interpretation and presentation of results.</t>
  </si>
  <si>
    <t>Economic Activities Promotion: are oriented to sustainability in the project area. Economic 
activities compatible with sustainable use of resources in order to work with the agents of 
deforestation identified will be promoted. This will significantly reduce the activities shifting and 
the leakage potentially attributable to the REDD project. The main activities are:
- Community forest management (timber and non-timber forest management)
- Community hunting
- Agroforestry
- Ecotourism
- Implementation of fish farms and poultry management and breeding</t>
  </si>
  <si>
    <t>There is considered the 
presence of three HCVs classes related to community 
well-being. However, in PDD version 01 is not 
determined specific areas identified as location of 
HCVs.</t>
  </si>
  <si>
    <t>s infrastructure, belongs to the community and it also receives 
60% of the profits generated by the operation and has the right of 50% of the vote</t>
  </si>
  <si>
    <t>2016-02-26 00:00:00+00:00</t>
  </si>
  <si>
    <t>TIST Program in Uganda, VCS 006</t>
  </si>
  <si>
    <t>VCS995</t>
  </si>
  <si>
    <t>https://registry.verra.org/app/projectDetail/VCS/995</t>
  </si>
  <si>
    <t>We strive for gender equality. Almost 45% of our Cluster Servants/Quantifiers, Auditors, Cluster Leaders 
and Leadership Council are female. Females hold positions of responsibility like program coordinator and 
expansion. Small Groups use “rotating leadership” which supports 
gender equality and develops the capacities of each member</t>
  </si>
  <si>
    <t>The new trees also provide fuelwood that reduces pressure on the natural forest. 
Training in improved stoves reduces that amount of firewood needed by the members.</t>
  </si>
  <si>
    <t>Risks for the Smallholders to Participate</t>
  </si>
  <si>
    <t>In addition, they will receive 70% of the profits from the sale of carbon credits.</t>
  </si>
  <si>
    <t>2022-05-28 00:00:00+00:00</t>
  </si>
  <si>
    <t>2022-06-23 00:00:00+00:00</t>
  </si>
  <si>
    <t>Grouped Project for Commercial Forest Plantations Initiatives in the Department of Vichada</t>
  </si>
  <si>
    <t>VCS1530</t>
  </si>
  <si>
    <t>https://registry.verra.org/app/projectDetail/VCS/1530</t>
  </si>
  <si>
    <t>All these measures have been and will continue to be implemented without gender discrimination and 
respecting the cultural customs of the stakeholders</t>
  </si>
  <si>
    <t>Administer the product during the appropriate seasons to maximize their efficiency and avoid the 
imbalance of nutrients in the soil.</t>
  </si>
  <si>
    <t>Organic fertilization avoids negative impacts on the environment, 
minimizes transportation costs and causes less risk to the health of humans, animals 
and wildlife. A</t>
  </si>
  <si>
    <t>2020-03-17 00:00:00+00:00</t>
  </si>
  <si>
    <t>Lumin/Eucapine Uruguay Forest Plantations on degraded grasslands under extensive grazing</t>
  </si>
  <si>
    <t>VCS960</t>
  </si>
  <si>
    <t>https://registry.verra.org/app/projectDetail/VCS/960</t>
  </si>
  <si>
    <t>EUCAPINE S.R.L</t>
  </si>
  <si>
    <t>All practices will be compatible with PEFC standard for sustainable forest management.</t>
  </si>
  <si>
    <t>2013-06-12 00:00:00+00:00</t>
  </si>
  <si>
    <t>2013-06-14 00:00:00+00:00</t>
  </si>
  <si>
    <t>Madre de Dios Amazon REDD+ Project</t>
  </si>
  <si>
    <t>VCS844</t>
  </si>
  <si>
    <t>https://registry.verra.org/app/projectDetail/VCS/844</t>
  </si>
  <si>
    <t>High perception of equal rights between men and women: 91%.Do women have voice and vote in the community assemblies?</t>
  </si>
  <si>
    <t>According to the face-to-face interview with workers and physical evidence shown (contracts, benefits register), employees are aware of their benefits and rights, such as health insurance, retirement benefits, compensation for time of service, school subsidy, etc.</t>
  </si>
  <si>
    <t>b) to guarantee the sustainable forestry management of both timber concessions through the 
implementation of an avoided deforestation project that helps to generate higher 
economical resources for the management of the area.</t>
  </si>
  <si>
    <t>Environmental impacts and mitigation measure</t>
  </si>
  <si>
    <t xml:space="preserve">d the Belgium Indigenous CommunityField Visit: by means of workshops, interviews and surveys with people that live in indigenous 
communities and villages adjoining the concessions. </t>
  </si>
  <si>
    <t>HCVF 6. Forests that are critical for the cultural identity of the communities (i.e. areas of cultural, 
economic or religious significance).</t>
  </si>
  <si>
    <t>Immigration flow increase as a consequence of knowing the existence of a project that can use 
workforce or take actions for social investment.</t>
  </si>
  <si>
    <t>2017-01-04 00:00:00+00:00</t>
  </si>
  <si>
    <t>BIOCORREDOR MARTIN SAGRADO REDD+ PROJECT</t>
  </si>
  <si>
    <t>VCS958</t>
  </si>
  <si>
    <t>https://registry.verra.org/app/projectDetail/VCS/958</t>
  </si>
  <si>
    <t>pportunity 
employment in section G4.4 of the PDD. The 
description commits to providing equal opportunities 
to fill employment positions to all people including 
women and underrepresented groups. The audit 
team determined that the project conforms to the 
requirements of the indicator</t>
  </si>
  <si>
    <t>Even minor contributor, the development of renewable energy or more efficient energy-saving techniques 
to lower fuelwood consumption, is a key component to make people aware of the need to develop 
alternative sources of energy.</t>
  </si>
  <si>
    <t>A2.7. Areas that are critical for the traditional cultural identity of communities (e.g., areas of cultural, ecological, economic or religious significance identified in collaboration with the communities).</t>
  </si>
  <si>
    <t>Happiness
% of satisfaction expressed by local communities, both in 
general as well as level of satisfaction with the project Questionnaires
Yearly with monitoring and reporting, to 
see eventual correlation between climate 
project and pride and self motivation to 
undertake development activities</t>
  </si>
  <si>
    <t>2016-11-28 00:00:00+00:00</t>
  </si>
  <si>
    <t>2017-03-16 00:00:00+00:00</t>
  </si>
  <si>
    <t>Agroforestry and forest restoration for ecological connectivity, poverty reduction and biodiversity conservation in Cerro San Gil, Caribbean Guatemala</t>
  </si>
  <si>
    <t>VCS1558</t>
  </si>
  <si>
    <t>https://registry.verra.org/app/projectDetail/VCS/1558</t>
  </si>
  <si>
    <t>wastes of organic origin are used in plantations as fertilizer.</t>
  </si>
  <si>
    <t>Management and final disposal of wastes</t>
  </si>
  <si>
    <t>Identification of the areaContract signing with land owners</t>
  </si>
  <si>
    <t>Panama</t>
  </si>
  <si>
    <t>2023-03-27 00:00:00+00:00</t>
  </si>
  <si>
    <t>2023-03-29 00:00:00+00:00</t>
  </si>
  <si>
    <t>Generation Forest Group Project</t>
  </si>
  <si>
    <t>VCS2481</t>
  </si>
  <si>
    <t>https://registry.verra.org/app/projectDetail/VCS/2481</t>
  </si>
  <si>
    <t>Futuro Forestal, S.A.</t>
  </si>
  <si>
    <t>All these measures have been and will continue to be, implemented without gender 
discrimination and respecting the cultural customs of all the stakeholder groups concerned.defines the guidelines 
and directives to ensure non-discrimination of any kind.</t>
  </si>
  <si>
    <t xml:space="preserve"> Vivero Panama Verde will 
produce saplings using reusable plastic containers. </t>
  </si>
  <si>
    <t>the well-being information and community characteristics that involve 
cultural and collective territorial aspects do not apply to the project activity.</t>
  </si>
  <si>
    <t>2023-06-26 00:00:00+00:00</t>
  </si>
  <si>
    <t>2024-01-31 00:00:00+00:00</t>
  </si>
  <si>
    <t>Montes del Este afforestation through high quality timber in degraded grasslands</t>
  </si>
  <si>
    <t>VCS2576</t>
  </si>
  <si>
    <t>https://registry.verra.org/app/projectDetail/VCS/2576</t>
  </si>
  <si>
    <t>Fideicomiso Financiero Forestal Montes del Este</t>
  </si>
  <si>
    <t>All practices are certified by FSC standard, ensuring sustainable forest management.</t>
  </si>
  <si>
    <t>Use and disposal of chemicals, containers, inorganic liquid and solid waste</t>
  </si>
  <si>
    <t>As stated before, Cambium has deep knowledge of the forestry activity and has not identified any natural or human-induced risk to local stakeholders’ wellbeing.</t>
  </si>
  <si>
    <t>2013-09-05 00:00:00+00:00</t>
  </si>
  <si>
    <t>JARI/AMAPÃ REDD+ PROJECT</t>
  </si>
  <si>
    <t>VCS1115</t>
  </si>
  <si>
    <t>https://registry.verra.org/app/projectDetail/VCS/1115</t>
  </si>
  <si>
    <t>Gender and age of the producers attende</t>
  </si>
  <si>
    <t>Sustainable Forest Management, FSC Certified: Under the responsibility of Grupo Jari, the FSC 
Management objectives the exploitation of forest resources rationally,</t>
  </si>
  <si>
    <t>Chemical fertilizers are used minimally, avoiding possible adverse effects such as 
pollution and eutrophication of water bodies and ground water and emissions of gases that 
cause the greenhouse effect.
There is no intention of use of chemical pesticides, biological control agents and other 
inputs.
B2.9 Waste Management</t>
  </si>
  <si>
    <t xml:space="preserve"> traditional rights of indigenous peoples and from others within the 
community and other actors. 
The Prior Consent, Free and Informed of the due property rights holders and other interested 
parties was achieved in every project stage. </t>
  </si>
  <si>
    <t>7. Measures to maintain and 
monitor HCVs relate to community will 
be continuously implemented during the 
project lifetime.</t>
  </si>
  <si>
    <t>Predicted Direct: risks from falling trees 
on the roads; increased risk of 
accidents by equipment and vehicle 
traffic; pollutant emissions from vehicles 
and equipment</t>
  </si>
  <si>
    <t xml:space="preserve">Project Proponents decided in 2014 to create a specific bank account to allocate all Jari cellulose’
share on credits revenue from now on (80% of total revenue) </t>
  </si>
  <si>
    <t>2023-05-31 00:00:00+00:00</t>
  </si>
  <si>
    <t>2023-09-06 00:00:00+00:00</t>
  </si>
  <si>
    <t>Bosques del Uruguay Afforestation through High Quality Timber in Grasslands Project</t>
  </si>
  <si>
    <t>VCS1543</t>
  </si>
  <si>
    <t>https://registry.verra.org/app/projectDetail/VCS/1543</t>
  </si>
  <si>
    <t>Agroempresa Forestal S.A.</t>
  </si>
  <si>
    <t>These channels are open to any culture and gender as no discrimination is done in terms of list of.BDU has a policy against any kind of discrimination72</t>
  </si>
  <si>
    <t>All 
practices will be compatible with FSC standards for sustainable forest management.</t>
  </si>
  <si>
    <t>Additionally, the cultural heritage sites are identified and delimited to allow free access to the community, 
as is the case of the two tombs, which is located within the boundary of a property owned by BDU.</t>
  </si>
  <si>
    <t>Project risks are summarized in the EIA table that follows:</t>
  </si>
  <si>
    <t>4.5.6. Benefit Sharing Mechanisms (GL2.6)
Not applicabl</t>
  </si>
  <si>
    <t>2020-06-15 00:00:00+00:00</t>
  </si>
  <si>
    <t>2020-07-12 00:00:00+00:00</t>
  </si>
  <si>
    <t>Acapa -Â­ Bajo Mira Y Frontera REDD+ Project</t>
  </si>
  <si>
    <t>VCS1389</t>
  </si>
  <si>
    <t>https://registry.verra.org/app/projectDetail/VCS/1389</t>
  </si>
  <si>
    <t>Fundamental business and management training and education is 
paramount in encouraging women and families to fully contribute to the project and economic development of the 
area as a whole. Additional procedures that guarantee equal opportunities for community members, including women and 
vulnerable and/or marginalized people,</t>
  </si>
  <si>
    <t>Only sustainable farming techniques are being promoted, and on lands that are already under agricultural production…</t>
  </si>
  <si>
    <t>This criterion pertains to sites and resources fundamental for satisfying the basic necessities of local communities
or indigenous peoples (for example for livelihoods, health, nutrition, water), identified through engagement with
these communities or indigenous peoples.</t>
  </si>
  <si>
    <t xml:space="preserve">However, an analysis of potential negative impacts on offsite stakeholders was carried out by the
BioREDD+ team with community stakeholders and potential negative impacts and mitigation measures were
identified. However, some
potential negative impacts on the communities could result from </t>
  </si>
  <si>
    <t>The design and implementation of a benefits sharing mechanism will be developed in a participatory manner with
community members, based on existing Development Plans. If a legitimate Development Plan does not exist,
Fondo Acción will invest in a broader planning exercise with community participation, to design the plan to refl</t>
  </si>
  <si>
    <t>2023-12-18 00:00:00+00:00</t>
  </si>
  <si>
    <t>2024-03-02 00:00:00+00:00</t>
  </si>
  <si>
    <t>Mahogany Plantation in India</t>
  </si>
  <si>
    <t>VCS2479</t>
  </si>
  <si>
    <t>https://registry.verra.org/app/projectDetail/VCS/2479</t>
  </si>
  <si>
    <t>Mahogani Vishwa Agro Pvt Ltd</t>
  </si>
  <si>
    <t>The first Project Activity Instance includes 59 women small land holders having full right of ownership of
income generated through regular farming, Produce and carbon credits thereby ensuring progress
towards gender equality, empowering all rights to women</t>
  </si>
  <si>
    <t>Explained through one to one meetings about the prevailing laws and
regulations pertaining of felling of tree and local/national labor laws.</t>
  </si>
  <si>
    <t xml:space="preserve">PP
communicates SOPs to farmers for implementation of Pest Management Strategies to reduce the
impact of pests and disease and the same has been mandated to farmers through contractual
agreement. </t>
  </si>
  <si>
    <t>Sustainable disposal of dead litters, leaves, and other crop residues either by Composting
or through proper burial in the ground“Ensure sustainable consumption and production
patterns. Clause 12.5, By 2030, substantially reduce waste generation through prevention, reduction,
recycling and reuse</t>
  </si>
  <si>
    <t>Transportation
of seedlings
and Produce
Health
and
Safety
i.Use of unfit heavy
vehicles
ii.Use of light vehicles
without safety
precautions</t>
  </si>
  <si>
    <t>An agreement is signed between the PP and farmer/farmer groups for the
cultivation, inclusion of the land parcels with plantation as Grouped Project and sharing of revenues
through net sale proceeds generated through life cycle of Mahogany Trees.</t>
  </si>
  <si>
    <t>Monitoring
of HR SOP
for
Employee</t>
  </si>
  <si>
    <t>2018-06-15 00:00:00+00:00</t>
  </si>
  <si>
    <t>Manoa REDD+ Project</t>
  </si>
  <si>
    <t>VCS1571</t>
  </si>
  <si>
    <t>https://registry.verra.org/app/projectDetail/VCS/1571</t>
  </si>
  <si>
    <t>CCB-SD Vista</t>
  </si>
  <si>
    <t>Ambipar’s Diversity and Inclusion Policy actively supports compliance with SDGs (Sustainable
Development Goals) 5 – Gender Equality</t>
  </si>
  <si>
    <t>ver 3</t>
  </si>
  <si>
    <t>Effective ongoing implementation of
sustainable management
techniques, resulting in greater
operational efficiency and
conservation of forest resources.</t>
  </si>
  <si>
    <t>2022-04-28 00:00:00+00:00</t>
  </si>
  <si>
    <t>Gansu Lanzhou Afforestation Project</t>
  </si>
  <si>
    <t>VCS2418</t>
  </si>
  <si>
    <t>https://registry.verra.org/app/projectDetail/VCS/2418</t>
  </si>
  <si>
    <t>Lanzhou Landscaping And Greening Service Center</t>
  </si>
  <si>
    <t xml:space="preserve">at least 3 representatives in each community group and the
representatives covered different ages, different genders and different education levels.have established the anti-discrimination rules in the implementation of the project,
including providing equal job opportunities for any qualified workers regardless of gender, </t>
  </si>
  <si>
    <t>No HCVs was identified related to community well-being in the project zone.and does no force rights holder to relocate
activities important to their culture or livelihood.Chinese opera: Qinqiang Opera
Cuisine: Lanzhou beef lamian noodles, many other types of noodles, the root of the lily, and many
different kinds of mutton are important elements of Lanzhou's distinct food culture. Lanzhou Beef
noodles are well known throughout China. The city of Lanzhou is home to over 1,000 beef noodle
restaurants.
Islam in China: Xiguan Mosque, the mosque was constructed in the Ming dynasty and rebuilt in
1990. It occupies an area of 467 square meters (5,030 square feet) and is one of the most influential
mosques in China. The architecture of the mosque predominantly reflects that of Arab architecture.</t>
  </si>
  <si>
    <t>2022-01-24 00:00:00+00:00</t>
  </si>
  <si>
    <t>2022-01-28 00:00:00+00:00</t>
  </si>
  <si>
    <t>Reforestation Project in Qinghai Province 2012</t>
  </si>
  <si>
    <t>VCS1361</t>
  </si>
  <si>
    <t>https://registry.verra.org/app/projectDetail/VCS/1361</t>
  </si>
  <si>
    <t>The project is aiming to protect local biodiversity</t>
  </si>
  <si>
    <t>The project won’t have construction with mechanical equipment, noise, construction waste, waste
gas, and dust. So the project won’t have negative impact on atmosphere and sound. The project
activity takes a quite short time, and does not involve many workers. Most of the workers are local,
so little living waste will be generated by the project. Thus, there is almost no the negative impact
on water.</t>
  </si>
  <si>
    <t>Facilitation for Land Tenure Reform of Collective-owned Forestry Land</t>
  </si>
  <si>
    <t>Cajambre REDD+ Project</t>
  </si>
  <si>
    <t>VCS1392</t>
  </si>
  <si>
    <t>https://registry.verra.org/app/projectDetail/VCS/1392</t>
  </si>
  <si>
    <t>Consejo Comunitario de Cajambre</t>
  </si>
  <si>
    <t>Fondo	Acción	is	an	Equal	Opportunity	Employer	which	aims	to	include	community	members	in	its	work	regardless	
of	age,	gender,	ethnicity	or	other	characteristics.a	key	component	of	benefit	sharing	distribution	schemes,	as	conceived	by	Fondo	Acción,	is	to	ensure	
that	 benefits (including	 employment	 opportunities)	 reach	 women	 and	 the	most	 vulnerable	 and/or	marginalized	
people	 in	 the	 community</t>
  </si>
  <si>
    <t xml:space="preserve">	Only	sustainable	farming	
techniques	are	being	promoted,</t>
  </si>
  <si>
    <t>Identification	and	
protection	of	
resources	and	areas	
with	cultural	
significance	for	local	
communities	or	
indigenous	peoples.
Integrated	directly	
into the	land	use	
planning	and	zoning	
of	the	project	
area/project	zone.		
Monitoring patrols,	
and	community	
members	
themselves,	will	be
responsible	for
reporting	all
eventualities in	
these	areas	and in	
other key	areas of	
the	territory.</t>
  </si>
  <si>
    <t>Risks	for	Smallholders/Community	Members</t>
  </si>
  <si>
    <t>allow	for	implementation	of	productive	activities,	revenue	sharing,	and	re-investment	agreements.</t>
  </si>
  <si>
    <t>2022-12-22 00:00:00+00:00</t>
  </si>
  <si>
    <t>2023-07-07 00:00:00+00:00</t>
  </si>
  <si>
    <t>Jilin Sanchazi Afforestation Project</t>
  </si>
  <si>
    <t>VCS2375</t>
  </si>
  <si>
    <t>https://registry.verra.org/app/projectDetail/VCS/2375</t>
  </si>
  <si>
    <t>Jilin Forest Industry Environmental Technology Co., Ltd.</t>
  </si>
  <si>
    <t>The whole process of the stakeholder participation in decision-making and Implementation has been implemented in a culturally appropriate and gender-sensitive manner.And
female rural workers are preferentially employed after the training.</t>
  </si>
  <si>
    <t>No HCVs was identified related to community well-being in the project zone</t>
  </si>
  <si>
    <t>The Potential Community Costs, Risks and Benefits.</t>
  </si>
  <si>
    <t>2021-09-23 00:00:00+00:00</t>
  </si>
  <si>
    <t>2022-05-13 00:00:00+00:00</t>
  </si>
  <si>
    <t>TIST Program in Kenya, VCS-CCB 010</t>
  </si>
  <si>
    <t>VCS2338</t>
  </si>
  <si>
    <t>https://registry.verra.org/app/projectDetail/VCS/2338</t>
  </si>
  <si>
    <t xml:space="preserve"> result in TIST farmers
supporting a range of political beliefs and parties. Stakeholders are both men and women, with gender
equality throughout the program.</t>
  </si>
  <si>
    <t>Tree planting is accomplished by manual methods using hand tools. TIST best practices
call for farmers to dig individual holes that are 45 cm wide, 45 cm deep, spaced 2.5 m to 3.5 m apart for
each seedling and fertilized using natural fertilizers.</t>
  </si>
  <si>
    <t>access women and poor</t>
  </si>
  <si>
    <t>They receive training from TIST and a
share of the carbon revenues from CAAC</t>
  </si>
  <si>
    <t>2019-11-18 00:00:00+00:00</t>
  </si>
  <si>
    <t>2019-12-20 00:00:00+00:00</t>
  </si>
  <si>
    <t>Rio Pepe y ACABA REDD+ Project</t>
  </si>
  <si>
    <t>VCS1396</t>
  </si>
  <si>
    <t>https://registry.verra.org/app/projectDetail/VCS/1396</t>
  </si>
  <si>
    <t xml:space="preserve"> Only sustainable farming
techniques are being promoted, and on lands that are already under agricultural production or degraded lands apt
for agricultural production consistent with land use management plans.</t>
  </si>
  <si>
    <t>Consultation with the communities found that sacred sites (and medicinal plants as noted above for fundamental
needs) are important to the traditional cultural identity of the communities, including cemeteries. S</t>
  </si>
  <si>
    <t>RISKS FOR SMALLHOLDERS/COMMUNITY MEMBERS</t>
  </si>
  <si>
    <t>2014-02-27 00:00:00+00:00</t>
  </si>
  <si>
    <t>TIST Program in Uganda, VCS 004</t>
  </si>
  <si>
    <t>VCS826</t>
  </si>
  <si>
    <t>https://registry.verra.org/app/projectDetail/VCS/826</t>
  </si>
  <si>
    <t>Small Groups use “rotating leadership”
which supports gender equality and develops the capacities of each member.</t>
  </si>
  <si>
    <t>Special
attention is called to the benefits of indigenous trees and trees that provide food and other
regularly available products. This is to help reduce the cost of entry to farmers.Use of trimming and thinning is
permitted, as long is it is sustainable.</t>
  </si>
  <si>
    <t xml:space="preserve">No indigenous peoples or tribes occupy the
communities within the project area. </t>
  </si>
  <si>
    <t>no poorer and more vulnerable households and
individuals whose well-being or poverty may be negatively affected by the project have been
identified</t>
  </si>
  <si>
    <t xml:space="preserve">Second, under the terms of the Project Participant’s
contracts with the TIST Small Groups, the farmers receive an annual advance on their potential
carbon revenues, which eliminates the need for credit.22 </t>
  </si>
  <si>
    <t>2015-01-29 00:00:00+00:00</t>
  </si>
  <si>
    <t>Alto Huayabamba: Carbon Dioxide sequestration through reforestation with small-scale farmers in Peru, San Martin Region</t>
  </si>
  <si>
    <t>VCS796</t>
  </si>
  <si>
    <t>https://registry.verra.org/app/projectDetail/VCS/796</t>
  </si>
  <si>
    <t>Only Tectona Grandis is an exotic specie, however non invasive, and therefore not impacting the development of other flora species. Only native tree species will be planted, except for the Tectona grandis and the Acrocarpus Fraxinifolius
which will be planted only on a small scale (less than 25 % of total trees planted).</t>
  </si>
  <si>
    <t>A cooperative of 1800 small cocoa producers in Peru, in charge of the plantation of the seedlings and the follow-up of the project, including FSC certification and sustainable forestry husbandry.</t>
  </si>
  <si>
    <t>All use of chemicals and pesticides is strictly forbidden and all producers abide by these rules.</t>
  </si>
  <si>
    <t xml:space="preserve">. However, some farmers will be excluded
of the A/R project as their land is not eligible according to the eligibility criteria established for A/R projects
and VCS Standards. In particular, the landowners whose terrains have been deforested after 2000 will be
excluded. Although these farmers are not included in the scope of the A/R project as defined by the VCS
Standards, it could be considered as a negative impact.
To avoid this situation, the Pure Project will actively look for alternate financing, like the sale of tree
certificates without reference to carbon, in order to help the farmers non eligible to this A/R program. </t>
  </si>
  <si>
    <t>The description of land tenure/property,</t>
  </si>
  <si>
    <t>2020-10-01 00:00:00+00:00</t>
  </si>
  <si>
    <t>Qinghai Afforestation Project</t>
  </si>
  <si>
    <t>VCS1826</t>
  </si>
  <si>
    <t>https://registry.verra.org/app/projectDetail/VCS/1826</t>
  </si>
  <si>
    <t>Qinghai Forestry Ecological Construction and Investment Co., Ltd.</t>
  </si>
  <si>
    <t>. All people from the communities will be given an equal opportunity to
fill all work positions if the job requirements are met.</t>
  </si>
  <si>
    <t>No HCVs was identified related to community well-being in the project zone.</t>
  </si>
  <si>
    <t>2021-09-29 00:00:00+00:00</t>
  </si>
  <si>
    <t>Grouped Project for restoration of degraded lands in Jaguar Corridors, Colombia</t>
  </si>
  <si>
    <t>VCS1769</t>
  </si>
  <si>
    <t>https://registry.verra.org/app/projectDetail/VCS/1769</t>
  </si>
  <si>
    <t>['ar-acm0003', 'vm0005']</t>
  </si>
  <si>
    <t>No policy.</t>
  </si>
  <si>
    <t>Land preparation and plantation was done manually, without the use of machines or agrochemicals.
The sowing was done with hoe and the holes to plant in, were made with a bar.
- Fertilization plan: a single application was made during the sowing, 350 gr per seedling, 50% of organic
fertilizer – chicken manure and 50% of Trifos.
- Integrated management of pest and diseases: Thus far, it has not been necessary to use pesticides. If
a disease is identified samples will be sent to the ICA who will provide recommendations for treatment.AA87</t>
  </si>
  <si>
    <t xml:space="preserve"> in the area of the
project there are no indigenous reservations or Afro-Colombian communities, therefore, there are no
cultural or traditional places of interest in the Project Area. I</t>
  </si>
  <si>
    <t>Community Costs, Risks, and Benefits (G3.2)</t>
  </si>
  <si>
    <t>2019-12-17 00:00:00+00:00</t>
  </si>
  <si>
    <t>Reforestation Grouped Project at Pratigi Environmental Protection Area</t>
  </si>
  <si>
    <t>VCS1317</t>
  </si>
  <si>
    <t>https://registry.verra.org/app/projectDetail/VCS/1317</t>
  </si>
  <si>
    <t>This restoration model is recommended for areas with planted pastures with slopes less than 12%
located at any distance from the forest fragments.The lower slopes allow mechanized equipment to be
used to prepare the soil.</t>
  </si>
  <si>
    <t>Emissions due to implementation activities, including emissions due to the
burning of fossil fuels for transportation and machinery, and nitrogen emissions from the fertilizer used,</t>
  </si>
  <si>
    <t>However, these settlements suffered from frequent attacks by
indigenous tribes known as the aimorés and the tupiniquins (Souto 2003).</t>
  </si>
  <si>
    <t>The OCT, as a proponent and implementer of the grouped project, will have a clear and undisputed
ownership of carbon rights. It will sign with the land owner an term of assignment for carbon credits rights.
This term assure OCT the right to negotiate the verified credits and bring that revenue to the Fund for
Environmental Services in Pratigi EPA that is in process of creation and will be used to promote the payment
for environmental services to the owners who join the program (see the detailed terms in Annex 11).</t>
  </si>
  <si>
    <t>2022-03-16 00:00:00+00:00</t>
  </si>
  <si>
    <t>2022-04-21 00:00:00+00:00</t>
  </si>
  <si>
    <t>REFORESTATION OF DEGRADED FOREST RESERVE AREAS IN GHANA, WEST AFRICA</t>
  </si>
  <si>
    <t>VCS2410</t>
  </si>
  <si>
    <t>https://registry.verra.org/app/projectDetail/VCS/2410</t>
  </si>
  <si>
    <t>(for occupational health and safety and the employment of women)Miro is developing a safeguarding policy and is currently undertaking a deep
dive assessment of safeguarding and gender risks in the workplace and
community with a local Civil Society Organization</t>
  </si>
  <si>
    <t xml:space="preserve">Ghana Labour Act (651) Workers will also be provided with the necessary PPE and its use will be
enforced. </t>
  </si>
  <si>
    <t>Microforest is a web-based plantation management system that
encompasses the entire lifecycle of forestry operations. Agricultural methods using fire to clear land are less
efficient in terms of retaining nutrients and organic matter in the soil, and efforts are being made through
education programmes to re-educate local farmers who clear land in this way.</t>
  </si>
  <si>
    <t>General waste
Miro Forestry will ensure the contractor(s) provides bins on-site for the
collection and disposal of plastic waste and polythene materials such as
lubricant containers, drinking water sachets and carrier bags, which will be
regularly emptied at an approved dump site.</t>
  </si>
  <si>
    <t xml:space="preserve">There are no cultural heritage resources identified within the project areas. There is no cemetery at the
project sites. The major occupation of the local communities is farming, with some minor activities such
as fishing, hunting and charcoal processing. </t>
  </si>
  <si>
    <t>Social conflict with the local community, migrant settlers and farmers Transportation of construction materials and equipment to the project site</t>
  </si>
  <si>
    <t>he project proponent, Miro Forestry, has land lease agreements and a benefit share agreement1 with
traditional landowners and the Forestry Commission of Ghana</t>
  </si>
  <si>
    <t>2022-07-25 00:00:00+00:00</t>
  </si>
  <si>
    <t>Shanxi Loufan Afforestation Project</t>
  </si>
  <si>
    <t>VCS2451</t>
  </si>
  <si>
    <t>https://registry.verra.org/app/projectDetail/VCS/2451</t>
  </si>
  <si>
    <t>Loufan County Forestry Workstation</t>
  </si>
  <si>
    <t xml:space="preserve">including equal job opportunities for any qualified workers, regardless their gender, race, nation or </t>
  </si>
  <si>
    <t>2.occupy the roads during the planting;</t>
  </si>
  <si>
    <t>2023-11-07 00:00:00+00:00</t>
  </si>
  <si>
    <t>Regenerating Colombian Coffee Ecosystems</t>
  </si>
  <si>
    <t>VCS1682</t>
  </si>
  <si>
    <t>https://registry.verra.org/app/projectDetail/VCS/1682</t>
  </si>
  <si>
    <t>The project also complies with work / labour regulatory framework.</t>
  </si>
  <si>
    <t>Only native tree species will be planted, except for the Fraxinus chinensis, Pinus Oocarpa and the
Pinus Patula which will be planted only on a small scale (less than 7,5 % of total trees planted in
total). These species were planted in the first planting waves but rapidly abandoned to prioritize
native species</t>
  </si>
  <si>
    <t>Each farmer willing to participate chooses a plantation model (based on the specificities of his land) and some recommended species he is interested in.</t>
  </si>
  <si>
    <t xml:space="preserve">across all possible producer
organizations: cooperatives, producers associations, indigenous communities, </t>
  </si>
  <si>
    <t>the development of co-products value chain, the
securing of land tenure, and the national and international recognition of their contribution.
Reforested areas are the own farmers’ landDespite this complex national context, the Colombian coffee sector is rather preserved from those issues
and there are no known conflicts regarding land tenure and land use rights for farmers among all selected
Entities</t>
  </si>
  <si>
    <t>Table 8: General monitoring plan</t>
  </si>
  <si>
    <t>2019-12-06 00:00:00+00:00</t>
  </si>
  <si>
    <t>2019-12-09 00:00:00+00:00</t>
  </si>
  <si>
    <t>Jari/ParÃ¡ REDD+ Project</t>
  </si>
  <si>
    <t>VCS1811</t>
  </si>
  <si>
    <t>https://registry.verra.org/app/projectDetail/VCS/1811</t>
  </si>
  <si>
    <t xml:space="preserve"> Finally, activities will be carried out to include gender and
vulnerable populations as part of the resources of the Social-Environmental Agreement. Criteria of race, gender, sexual orientation, color, religion, age, ethnic origin, physical or mental
disability or social class are not adopted. </t>
  </si>
  <si>
    <t xml:space="preserve">With the
continuous access to high resolution imagery the team will be able to better design the field planning and
strategies, providing effectiveness and saving resources. </t>
  </si>
  <si>
    <t>The spring of the Vila do Planalto, which is in a critical situation
(HCVA 4) and is fundamental for local communities (HCVA 5).</t>
  </si>
  <si>
    <t xml:space="preserve">Some potential
risks are identified as a lack of interest from other stakeholders and an increase in the number of local
people due to migration to the Project Area. </t>
  </si>
  <si>
    <t>4.5.6 Benefit Sharing Mechanisms (GL2.6)
Does not apply.</t>
  </si>
  <si>
    <t>2011-08-16 00:00:00+00:00</t>
  </si>
  <si>
    <t>2011-08-26 00:00:00+00:00</t>
  </si>
  <si>
    <t>Restoration of degraded areas and reforestation in CÃ¡ceres and Cravo Norte, Colombia</t>
  </si>
  <si>
    <t>VCS576</t>
  </si>
  <si>
    <t>https://registry.verra.org/app/projectDetail/VCS/576</t>
  </si>
  <si>
    <t>Asorpar Ltd.</t>
  </si>
  <si>
    <t>['ar-acm0003', 'ar-am0005']</t>
  </si>
  <si>
    <t>. Asorpar is an equal opportunity employer and trains male and
female employees in the same way</t>
  </si>
  <si>
    <t>The topics of these seminars vary widely but all are targeted at increasing
awareness about sustainability and the importance of forests.</t>
  </si>
  <si>
    <t>Also a group of over 20 indigenous people has
been working with ASORPAR for 10 years; they are working as crew leaders for local
employees.Also a group of over 20 indigenous people has
been working with ASORPAR for 10 years; they are working as crew leaders for local
employees.</t>
  </si>
  <si>
    <t xml:space="preserve">The project zone is not a HCV area that is critical for traditional cultural identity. The
project is not located on tribal lands, ancient burial grounds or lands of religious
significance. During the local stakeholder consultations the local attendees raised no
issues about any cultural significance of the project area. All land is privately owned. </t>
  </si>
  <si>
    <t>Table 13: Offsite Impact MitigationAsorpar has built and improved roads to make access to
the project areas easy and safe and to avoid increasing
pressure on existing infrastructure</t>
  </si>
  <si>
    <t xml:space="preserve">Once the project will receive the financial
support from the CIF or carbon credits revenues, Asorpar will reimburse some of the
initial costs to the group of investors. </t>
  </si>
  <si>
    <t>2023-08-01 00:00:00+00:00</t>
  </si>
  <si>
    <t>PAYMENT FOR ENVIRONMENTAL SERVICES SCHEME FOR FOREST MANAGEMENT AND CONSERVATION OF WATER SOURCES IN THE JURISDICTION OF CORPOCHIVOR</t>
  </si>
  <si>
    <t>VCS1695</t>
  </si>
  <si>
    <t>https://registry.verra.org/app/projectDetail/VCS/1695</t>
  </si>
  <si>
    <t>Local Environmental Authority of Chivor (CORPOCHIVORâ€“ CorporaciÃ³n AutÃ³noma Regional de Chivor)</t>
  </si>
  <si>
    <t>The Corporation has highlighted gender inclusion from among its inclusion policy priorities. This
plan includes indicators and targets that adhere to the principles of participation, negotiation,
learning, gender equality,</t>
  </si>
  <si>
    <t xml:space="preserve">Reduce degradation of the
forests within the jurisdiction
through the establishment of
cookstoves. Improving crop
seeds involves obtaining high
yields, improve soil quality,
reduce the amount of inputs
used, promote the use of
organic fertilizers, diversify </t>
  </si>
  <si>
    <t>Spiritual and religious values: In the literature, páramos and some high mountain ecosystems are
associated with sacred aspects of human nature and cosmological manifestations112. In addition, they
recognize that pre-Columbian cultures of various groups in Colombia (Kogi, Muisca, Tolima and Quimbaya)
considered sacred and untouchable these ecosystems, intended for performing religious rites. In this
regard, the community recognizes that the páramos give them peace of mind, and somehow it is a space
for reflection and self-knowledge.</t>
  </si>
  <si>
    <t>Table 28. Assessment of the expected impacts from the Poject on the Community</t>
  </si>
  <si>
    <t>2019-10-31 00:00:00+00:00</t>
  </si>
  <si>
    <t>Bajo Calima y BahÃ­a MÃ¡laga (BCBM) REDD+ Project</t>
  </si>
  <si>
    <t>VCS1395</t>
  </si>
  <si>
    <t>https://registry.verra.org/app/projectDetail/VCS/1395</t>
  </si>
  <si>
    <t>Consultation with the communities indicates the presence of ancestral practices related to the management and
conservation of biodiversity, as well as the knowledge and use of medicinal and artisanal plants. Furthermore, the
availability of these forest products is integral to the conservation of important oral and musical cultural practices.
For these reasons, cultural identity is considered a High Conservation Value for the project zone. S</t>
  </si>
  <si>
    <t>2021-08-31 00:00:00+00:00</t>
  </si>
  <si>
    <t>2021-11-08 00:00:00+00:00</t>
  </si>
  <si>
    <t>TIST Program in Uganda, VCS-CCB 010</t>
  </si>
  <si>
    <t>VCS2339</t>
  </si>
  <si>
    <t>https://registry.verra.org/app/projectDetail/VCS/2339</t>
  </si>
  <si>
    <t xml:space="preserve">Queen Elizabeth National Park qualifies as an HCV as an area that is critical for the traditional cultural
identify of the community. Within the park are several women’s, artistic, and traditional communities.74 In </t>
  </si>
  <si>
    <t>2022-09-19 00:00:00+00:00</t>
  </si>
  <si>
    <t>Yellow IpÃª Grouped REDD Project</t>
  </si>
  <si>
    <t>VCS2373</t>
  </si>
  <si>
    <t>https://registry.verra.org/app/projectDetail/VCS/2373</t>
  </si>
  <si>
    <t>EcolÃ³gica Assessoria Ltda.</t>
  </si>
  <si>
    <t>“Protect labour rights and promote safe and secure working environments for all workers, including migrant workers, in particular women migrants, and those in precarious employment”;</t>
  </si>
  <si>
    <t xml:space="preserve">“Protect labour rights and promote safe and secure working environments for all workers, including migrant workers, in particular women migrants, and those in precarious employment”;The project owner intends to formally hire the local community, offering technical training (as well
as training for worker health and safety), </t>
  </si>
  <si>
    <t xml:space="preserve">s. In
case of wood extraction, the Sustainable Forest Management Plan will be required, in
encouraging the emission of certifications of good practices. </t>
  </si>
  <si>
    <t>questionnaire:Cultural and religious parties and rituals
● Places of cultural value (cemetery, churches</t>
  </si>
  <si>
    <t>Conflict
manageme
nt with
communitie
s in the
project
area, due to
banning of
timber
product
extraction.</t>
  </si>
  <si>
    <t>Part of the funds from the sale of carbon credits will go to the education and sustainable development of the riverside communities present inside and outside the project area.</t>
  </si>
  <si>
    <t>Monitored by the
Social resource:
● Local traditional
people
assistance
● Additional
social programs
● Women’s
inclusion</t>
  </si>
  <si>
    <t>Zambia</t>
  </si>
  <si>
    <t>2014-07-18 00:00:00+00:00</t>
  </si>
  <si>
    <t>2014-12-17 00:00:00+00:00</t>
  </si>
  <si>
    <t>LOWER ZAMBEZI REDD+ PROJECT</t>
  </si>
  <si>
    <t>VCS1202</t>
  </si>
  <si>
    <t>https://registry.verra.org/app/projectDetail/VCS/1202</t>
  </si>
  <si>
    <t>BioCarbon Partners</t>
  </si>
  <si>
    <t>s. BCP has 
already begun employing local women</t>
  </si>
  <si>
    <t>establishment of a suite of sustainably managed economic activities that will reduce deforestation, including sustainable charcoal production and conservation agriculture initiatives</t>
  </si>
  <si>
    <t xml:space="preserve"> protection of the environment and control of 
pollution </t>
  </si>
  <si>
    <t>All necessary 
documentation regarding the landowner’s free, prior and informed consent for the project to take 
place on the project area is in place and will be provided to the Validator.</t>
  </si>
  <si>
    <t>Mozambique</t>
  </si>
  <si>
    <t>2021-04-12 00:00:00+00:00</t>
  </si>
  <si>
    <t>Revegetation with fruit trees in North Manica Province, Mozambique</t>
  </si>
  <si>
    <t>VCS2085</t>
  </si>
  <si>
    <t>https://registry.verra.org/app/projectDetail/VCS/2085</t>
  </si>
  <si>
    <t>Agrimoz S.a r.l.</t>
  </si>
  <si>
    <t xml:space="preserve">Both genders were present. </t>
  </si>
  <si>
    <t>from the workers representatives, crafters, managers, representative of local communities and
councilmen</t>
  </si>
  <si>
    <t>The field works are conducted entirely by MIM and they are made by following sustainable
agricultural practices.</t>
  </si>
  <si>
    <t>2012-11-16 00:00:00+00:00</t>
  </si>
  <si>
    <t>TIST Program in Kenya, VCS 002</t>
  </si>
  <si>
    <t>VCS595</t>
  </si>
  <si>
    <t>https://registry.verra.org/app/projectDetail/VCS/595</t>
  </si>
  <si>
    <t>Papua New Guinea</t>
  </si>
  <si>
    <t>2020-10-06 00:00:00+00:00</t>
  </si>
  <si>
    <t>2020-11-07 00:00:00+00:00</t>
  </si>
  <si>
    <t>NIHT Topaiyo REDD +</t>
  </si>
  <si>
    <t>VCS2293</t>
  </si>
  <si>
    <t>https://registry.verra.org/app/projectDetail/VCS/2293</t>
  </si>
  <si>
    <t>NIHT Inc.</t>
  </si>
  <si>
    <t>The committees
must include women (40%) and they have the responsibility for guiding their clan and supporting</t>
  </si>
  <si>
    <t xml:space="preserve">ver3 </t>
  </si>
  <si>
    <t>Culturally significant areas that men perform customary rituals</t>
  </si>
  <si>
    <t>Under the current arrangement NIHT guarantees that every man, woman,
and child earns their fair share of at least 50.1% net revenue from the sale of carbon credits.</t>
  </si>
  <si>
    <t>Carmen del DariÃ©n (CDD) REDD+ Project</t>
  </si>
  <si>
    <t>VCS1390</t>
  </si>
  <si>
    <t>https://registry.verra.org/app/projectDetail/VCS/1390</t>
  </si>
  <si>
    <t>Consultation with the communities found the following plants species important for domestic and medicinal use:
achiotillo, arrebatadora, aruña gato, babazaino, barbasco, bejuco candelo, bejuco de sol, chocho (Ormosia sp.)</t>
  </si>
  <si>
    <t>The design and implementation of a benefits sharing mechanism will be developed in a participatory manner with
community members, based</t>
  </si>
  <si>
    <t>2020-10-23 00:00:00+00:00</t>
  </si>
  <si>
    <t>2020-10-29 00:00:00+00:00</t>
  </si>
  <si>
    <t>Fazenda Nascente do Luar Agroforestry Project</t>
  </si>
  <si>
    <t>VCS2079</t>
  </si>
  <si>
    <t>https://registry.verra.org/app/projectDetail/VCS/2079</t>
  </si>
  <si>
    <t>AGROBUSINESS FLORESTAS E PECUARIA LTDA</t>
  </si>
  <si>
    <t xml:space="preserve">The Project Proponent is committed to act responsibly to
guarantee the quality of the silvicultural activities performed in the field, and also that the
environmental, industrial safety and occupational health standards are in line with the
development of all the processes, products and projects. </t>
  </si>
  <si>
    <t>A manual cleaning is performed in the form of a dish with an average diameter of 1 m on each tree in order
to ensure that during the fertilizations the resources are efficiently used by the tree and to prevent any
suffocation of the plants from the harmful grass and weeds.</t>
  </si>
  <si>
    <t>Laos</t>
  </si>
  <si>
    <t>2024-03-15 00:00:00+00:00</t>
  </si>
  <si>
    <t>Afforestation in Eucalyptus and Acacia plantations for Burapha Agroforestry Co., Ltd.</t>
  </si>
  <si>
    <t>VCS2367</t>
  </si>
  <si>
    <t>https://registry.verra.org/app/projectDetail/VCS/2367</t>
  </si>
  <si>
    <t>Burapha Agroforestry Co. Ltd</t>
  </si>
  <si>
    <t>, with discrimination against employee due to factors such as race, ethnic background, gender, d</t>
  </si>
  <si>
    <t xml:space="preserve">Communication of Relevant Laws and Regulations Covering Workers Rights </t>
  </si>
  <si>
    <t>Planting schemes get adjusted, if villagers request to practice intercropping, e.g. upland rice. This means to either apply the 4.5x2m scheme and reducing the total amount of trees stocking to approximately 880 trees/ha or to plant the trees closer, in order to maximize inter-row space to a 9x1m planting scheme. The villagers are allowed to intercrop during the first 2 years of the rotation cycle, however practice this rather during the first year only. The inter-row space can be used thereafter for cattle grazing. Grazing has furthermore positive effects on the tree development: It reduces the moisture and nutrient competition of the side vegetation and keeps it small, that no understory can establish. The Agroforestry scheme shall ensure that the plantations do not interrupt the traditional food production scheme of farmers and force them to practice shifting cultivation in new and forested areas. The maintenance work of plantations is offered to the farmers and only if they decline 3rd parties will be contracted to conduct this work. Table 13 shows the labor opportunities of villagers during plantation growth.</t>
  </si>
  <si>
    <t>The Department of Natural Resources and Environmental Inspection (DNREI now Dept. of
Pollution Control and Inspection), General waster management very low</t>
  </si>
  <si>
    <t>Cultural Heritage negligible - low</t>
  </si>
  <si>
    <t>Table 6: Socio-economic impacts of Burapha plantations</t>
  </si>
  <si>
    <t>For example, respecting local culture
and heritage in site selection, monitoring wellbeing to ensure the project has no
negative impact on food security</t>
  </si>
  <si>
    <t>2015-02-09 00:00:00+00:00</t>
  </si>
  <si>
    <t>The Valparaiso Project</t>
  </si>
  <si>
    <t>VCS1113</t>
  </si>
  <si>
    <t>https://registry.verra.org/app/projectDetail/VCS/1113</t>
  </si>
  <si>
    <t>Valparaiso Project was discussed in greater detail with the
communities to ensure the communities were fully aware of the Valparaiso Project, were able to
contribute to the Project design, were able to openly express desired outcomes and concerns,
understood the third-party grievance procedure, and were able to voluntarily give free, prior and informed
consent.</t>
  </si>
  <si>
    <t>Carbon revenue will be primarily used by Manoel Batista Lopes, ME and I.S.R.C. to develop social
projects and programs. However, within the first five years, communities will start to receive a small share
of the payments from Manoel Batista Lopes, ME.</t>
  </si>
  <si>
    <t>2019-10-02 00:00:00+00:00</t>
  </si>
  <si>
    <t>Mitigation of GHG: Rubber based agro-forestry system for sustainable development and poverty reduction in Pakkading, Bolikhamsay Province, Lao PDR</t>
  </si>
  <si>
    <t>VCS1684</t>
  </si>
  <si>
    <t>https://registry.verra.org/app/projectDetail/VCS/1684</t>
  </si>
  <si>
    <t>Lao Thai Hua Rubber Co. Ltd</t>
  </si>
  <si>
    <t xml:space="preserve">The project developer will promote a working family
model where both men and women can actively participate in the project. </t>
  </si>
  <si>
    <t>There are no threatened or endangered species within the project boundary. Local communities in
surrounding areas have been eating many of the species found in shrubs and bushes.</t>
  </si>
  <si>
    <t>There are many
significant environmental credits of natural rubber resource such as ability to lock carbon both in biomass
and rubber, rubber plantations functioning as self-sustaining ecosystem (annual leaf fall, branches, fruits,
twigs, root hairs), cultivation being less demanding on fertilizers and pesticides, promoting soil
conservation</t>
  </si>
  <si>
    <t xml:space="preserve">water
pollution is minimized </t>
  </si>
  <si>
    <t xml:space="preserve"> In fact the project promoter
actively stimulates the progress of official efforts by the government of the Lao PDR to issue the farmers
with formal land certificates, which will enable them to benefit in financial terms from their land ownership
rights.</t>
  </si>
  <si>
    <t>2012-12-18 00:00:00+00:00</t>
  </si>
  <si>
    <t>TIST Program in Kenya, VCS 006</t>
  </si>
  <si>
    <t>VCS899</t>
  </si>
  <si>
    <t>https://registry.verra.org/app/projectDetail/VCS/899</t>
  </si>
  <si>
    <t>Regarding gender, TIST is gender sensitive. We try to keep the leadership council balanced at
50% women. All TIST members have an opportunity to be group leaders,
regardless of education or gender.</t>
  </si>
  <si>
    <t xml:space="preserve">The identified risks are:
 The farmers could use too much of their farm land for tree planting and jeopardize their food
security. </t>
  </si>
  <si>
    <t>They are paid a stipend for their
live trees and 70% of the profits from the sale of carbon</t>
  </si>
  <si>
    <t>2022-08-08 00:00:00+00:00</t>
  </si>
  <si>
    <t>Hunan Northern and Northwestern Area Afforestation Project</t>
  </si>
  <si>
    <t>VCS1896</t>
  </si>
  <si>
    <t>https://registry.verra.org/app/projectDetail/VCS/1896</t>
  </si>
  <si>
    <t>n case of any discrimination, the project proponent will
demand the person who is responsible for discrimination end his/her involvement with
the project immediately and find someone else to take over his/her job</t>
  </si>
  <si>
    <t>and a tiny ridge along down slope side of the pits will be made to allow more raining water inflow into the p</t>
  </si>
  <si>
    <t>No HCVs was identified related to community well-being in the project zone thus there is
no negative well-being impacts on community group</t>
  </si>
  <si>
    <t>There is no negative well-being impacts on other s</t>
  </si>
  <si>
    <t>2020-12-17 00:00:00+00:00</t>
  </si>
  <si>
    <t>2022-02-04 00:00:00+00:00</t>
  </si>
  <si>
    <t>Reforestation of degraded land by MTPL in India</t>
  </si>
  <si>
    <t>VCS2404</t>
  </si>
  <si>
    <t>https://registry.verra.org/app/projectDetail/VCS/2404</t>
  </si>
  <si>
    <t>Mangalam Timber Unit of Mangalam Cement Limited</t>
  </si>
  <si>
    <t>The company’s management systems are certified to international standards, ISO 9001:2008 for quality, ISO 14001:2004 for environment and OHSAS 18001:2007 for occupational health &amp; safety. MTPL has established “Quality Management System in Plantation &amp; Forestry”, wherein a set of procedures has been laid down to implement and monitor the project activity. These procedures to manage the project include: a) Staff training b) Data and record keeping arrangements c) Data collection d) Data entry and archiving e) Data quality control and quality assurance</t>
  </si>
  <si>
    <t>Insecticides/pesticides are used only in case of pest infection.</t>
  </si>
  <si>
    <t>Water (Prevention and Control of
Pollution) Act, 1974 with Rules.</t>
  </si>
  <si>
    <t>The carbon revenues generated from the project activity will be shared with the participating
farmers through a carbon contract entered between MTPL, the project implementing agency and
the participating farmers individually, thus resulting into additional financial support to them.</t>
  </si>
  <si>
    <t>Carbon Right</t>
  </si>
  <si>
    <t>2013-02-06 00:00:00+00:00</t>
  </si>
  <si>
    <t>TIST Program in Kenya, VCS 003</t>
  </si>
  <si>
    <t>VCS596</t>
  </si>
  <si>
    <t>https://registry.verra.org/app/projectDetail/VCS/596</t>
  </si>
  <si>
    <t>2017-11-14 00:00:00+00:00</t>
  </si>
  <si>
    <t>Chyulu Hills REDD+ Project</t>
  </si>
  <si>
    <t>VCS1408</t>
  </si>
  <si>
    <t>https://registry.verra.org/app/projectDetail/VCS/1408</t>
  </si>
  <si>
    <t>Chyulu Hills Conservation Trust</t>
  </si>
  <si>
    <t>The Chyulu Hills REDD+ Project operates a strict nondiscrimination policy such that women and vulnerable groups of people will receive equal chances; Women group</t>
  </si>
  <si>
    <t>The ultimate aim of the activity is to create a higher carrying capacity for the community land as well as a
lower quantity and a higher quality of livestock. An improved rotational grazing programs and increased
access to markets will additionally serve as a prominent activity within the MWCT areas to reduce forest
fire threat.</t>
  </si>
  <si>
    <t>On the ground, The Chyulu Hills REDD+ project also would not have come about without the dedicated
work of the Free Prior Informed Consent (FPIC) Officers, w</t>
  </si>
  <si>
    <t xml:space="preserve">The Chyulu Hills Ecosystem is one of Kenya’s most unique landscapes. Ecologically and culturally rich,
this landscape represents the best of Kenya’s natural and cultural heritage. To the Chyulu Hills REDD+ Project’s knowledge, there are no globally or locally recognized areas that are
critical for the traditional cultural identity of the communities. Moreover, upon consultation, it was found
that no sacred sites have been established within the Project Area, with the exception of a single fig tree
within Chyulu Hills National Park. This tree serves as the site for slaughtering a black sheep in times that
rains are late. Such ceremony only occurs during times of prolonged drought and it can also be
undertaken under any other fig tree in a different location.
Given the above, the Maasai, as mentioned earlier, do maintain a significant level of traditional practices.
Their lifestyle is not only extremely valuable in terms of their own culture, but it also provides a means for
revenue generation through tourism. </t>
  </si>
  <si>
    <t xml:space="preserve">Measures to identify poorer and more vulnerable households and individuals whose wellbeing may be negatively affected by the project, and that the project design includes
measures to avoid any such impacts </t>
  </si>
  <si>
    <t xml:space="preserve"> the project will provide community benefits in
the form of revenue sharing,</t>
  </si>
  <si>
    <t>2013-12-17 00:00:00+00:00</t>
  </si>
  <si>
    <t>TIST Program in Uganda, VCS 003</t>
  </si>
  <si>
    <t>VCS827</t>
  </si>
  <si>
    <t>https://registry.verra.org/app/projectDetail/VCS/827</t>
  </si>
  <si>
    <t>All TIST members have an opportunity to be group leaders, regardless of
education or gender. Small Groups use “rotating leadership”
which supports gender equality and develops the capacities of each member. T</t>
  </si>
  <si>
    <t>Farmers are trained to plant seedlings using the FAO conservation farming
techniques. The policy of TIST is for the farmers to
refrain from using chemical fertilizers, and instead, to rely on dung and plant material.</t>
  </si>
  <si>
    <t>The policy of TIST is for the farmers to
refrain from using chemical fertilizers, and instead, to rely on dung and plant material.</t>
  </si>
  <si>
    <t xml:space="preserve">Negative impacts on the poor identified. </t>
  </si>
  <si>
    <t>When the project becomes self-funding from the sale of carbon credits, they
will receive 70% of the net carbon revenues.</t>
  </si>
  <si>
    <t>2010-09-24 00:00:00+00:00</t>
  </si>
  <si>
    <t>Reforestation of degraded grasslands in Uchindile &amp; Mapanda, Tanzania</t>
  </si>
  <si>
    <t>VCS142</t>
  </si>
  <si>
    <t>https://registry.verra.org/app/projectDetail/VCS/142</t>
  </si>
  <si>
    <t>Green Resources Tanzania Ltd (GRL)</t>
  </si>
  <si>
    <t>['ar-am0005']</t>
  </si>
  <si>
    <t>The project to provide health services
and counselling to the workers and
labourers on communicable diseases
such as HIV/AIDs pandemonium.y, to include an assessment of any need of immigration to
meet the labour needs of the project</t>
  </si>
  <si>
    <t xml:space="preserve">But if need be, workers are housed temporarily in the facilities of the company on the plantations.
These are wooden houses with electricity (solar) and good water, waste and sanitation provisions. </t>
  </si>
  <si>
    <t xml:space="preserve">But if need be, workers are housed temporarily in the facilities of the company on the plantations.
These are wooden houses with electricity (solar) and good water, waste and sanitation provisions. Workers to be trained on management of fertilizer
and storage. Water receiving bodies to be tested
periodically according to the EMP to establish
levels of nitrates, sulphates borates and
phosphates. </t>
  </si>
  <si>
    <t>The available documents include corresponding assessments of
local communities, land tenure, food productions, etc</t>
  </si>
  <si>
    <t xml:space="preserve">sites of specific interest (culturally or environmentally), etc. The compartment maps of planted areas will indicate all plantable areas,
buffer zones and conservation areas, rivers, fire lines, fire towers, roads, offices, cultural sites, </t>
  </si>
  <si>
    <t xml:space="preserve">, conflicts over shared resources, impact on
the communities by migrants, increase of traffic accidents, and impact on cultural sites. </t>
  </si>
  <si>
    <t xml:space="preserve">generation of income for the communities through the sale of carbon credits (10% of
the benefits of all carbon credits will be used for community development projects)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</si>
</sst>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12"/>
      <color theme="1"/>
      <name val="Aptos Narrow"/>
      <family val="2"/>
      <scheme val="minor"/>
    </font>
    <font>
      <sz val="10"/>
      <color theme="1"/>
      <name val="Helvetica"/>
      <family val="2"/>
    </font>
    <font>
      <b/>
      <sz val="10"/>
      <color theme="1"/>
      <name val="Helvetica"/>
      <family val="2"/>
    </font>
    <font>
      <sz val="10"/>
      <color rgb="FF000000"/>
      <name val="Arial"/>
      <family val="2"/>
    </font>
    <font>
      <sz val="12"/>
      <color theme="1"/>
      <name val="TTBC17B3B0t00"/>
    </font>
    <font>
      <u/>
      <sz val="12"/>
      <color theme="10"/>
      <name val="Aptos Narrow"/>
      <family val="2"/>
      <scheme val="minor"/>
    </font>
    <font>
      <sz val="11"/>
      <color rgb="FF000000"/>
      <name val="Helvetica"/>
      <family val="2"/>
    </font>
    <font>
      <sz val="12"/>
      <color rgb="FF000000"/>
      <name val="Aptos Narrow"/>
      <family val="2"/>
      <scheme val="minor"/>
    </font>
  </fonts>
  <fills count="4">
    <fill>
      <patternFill patternType="none"/>
    </fill>
    <fill>
      <patternFill patternType="gray125"/>
    </fill>
    <fill>
      <patternFill patternType="solid">
        <fgColor theme="3" tint="0.89999084444715716"/>
        <bgColor indexed="64"/>
      </patternFill>
    </fill>
    <fill>
      <patternFill patternType="solid">
        <fgColor theme="9"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6" fillId="0" borderId="0" applyNumberFormat="0" applyFill="0" applyBorder="0" applyAlignment="0" applyProtection="0"/>
  </cellStyleXfs>
  <cellXfs count="21">
    <xf numFmtId="0" fontId="0" fillId="0" borderId="0" xfId="0"/>
    <xf numFmtId="0" fontId="0" fillId="0" borderId="1" xfId="0" applyBorder="1"/>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0" fillId="2" borderId="1" xfId="0" applyFill="1" applyBorder="1"/>
    <xf numFmtId="0" fontId="0" fillId="2" borderId="1" xfId="0" applyFill="1" applyBorder="1" applyAlignment="1">
      <alignment wrapText="1"/>
    </xf>
    <xf numFmtId="0" fontId="0" fillId="0" borderId="1" xfId="0" applyBorder="1" applyAlignment="1">
      <alignment wrapText="1"/>
    </xf>
    <xf numFmtId="0" fontId="0" fillId="0" borderId="0" xfId="0" applyAlignment="1">
      <alignment wrapText="1"/>
    </xf>
    <xf numFmtId="0" fontId="2" fillId="0" borderId="1" xfId="0" applyFont="1" applyBorder="1" applyAlignment="1">
      <alignment wrapText="1"/>
    </xf>
    <xf numFmtId="0" fontId="3" fillId="0" borderId="1" xfId="0" applyFont="1" applyBorder="1" applyAlignment="1">
      <alignment wrapText="1"/>
    </xf>
    <xf numFmtId="0" fontId="4" fillId="0" borderId="1" xfId="0" applyFont="1" applyBorder="1" applyAlignment="1">
      <alignment wrapText="1"/>
    </xf>
    <xf numFmtId="0" fontId="5" fillId="0" borderId="0" xfId="0" applyFont="1"/>
    <xf numFmtId="0" fontId="6" fillId="2" borderId="1" xfId="1" applyFill="1" applyBorder="1"/>
    <xf numFmtId="0" fontId="0" fillId="2" borderId="0" xfId="0" applyFill="1"/>
    <xf numFmtId="0" fontId="0" fillId="2" borderId="2" xfId="0" applyFill="1" applyBorder="1" applyAlignment="1">
      <alignment wrapText="1"/>
    </xf>
    <xf numFmtId="0" fontId="0" fillId="2" borderId="3" xfId="0" applyFill="1" applyBorder="1" applyAlignment="1">
      <alignment wrapText="1"/>
    </xf>
    <xf numFmtId="0" fontId="0" fillId="2" borderId="0" xfId="0" applyFill="1" applyAlignment="1">
      <alignment wrapText="1"/>
    </xf>
    <xf numFmtId="0" fontId="7" fillId="0" borderId="0" xfId="0" applyFont="1" applyAlignment="1">
      <alignment wrapText="1"/>
    </xf>
    <xf numFmtId="0" fontId="7" fillId="0" borderId="0" xfId="0" applyFont="1"/>
    <xf numFmtId="0" fontId="8"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registry.verra.org/app/projectDetail/VCS/799" TargetMode="External"/><Relationship Id="rId1" Type="http://schemas.openxmlformats.org/officeDocument/2006/relationships/hyperlink" Target="https://registry.verra.org/app/projectDetail/VCS/73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1C49D-D9A4-41AD-A196-E4D3DA9CD051}">
  <dimension ref="A1:AX108"/>
  <sheetViews>
    <sheetView tabSelected="1" topLeftCell="B1" zoomScale="50" zoomScaleNormal="50" workbookViewId="0">
      <pane ySplit="1" topLeftCell="A2" activePane="bottomLeft" state="frozen"/>
      <selection activeCell="B1" sqref="B1"/>
      <selection pane="bottomLeft" activeCell="AS11" sqref="AS11"/>
    </sheetView>
  </sheetViews>
  <sheetFormatPr defaultColWidth="11" defaultRowHeight="15.75" x14ac:dyDescent="0.25"/>
  <cols>
    <col min="1" max="1" width="0" hidden="1" customWidth="1"/>
    <col min="3" max="4" width="11" customWidth="1"/>
    <col min="5" max="5" width="11" hidden="1" customWidth="1"/>
    <col min="6" max="6" width="11" customWidth="1"/>
    <col min="7" max="7" width="31" customWidth="1"/>
    <col min="10" max="10" width="11" hidden="1" customWidth="1"/>
    <col min="11" max="11" width="16.375" customWidth="1"/>
    <col min="12" max="14" width="11" hidden="1" customWidth="1"/>
    <col min="15" max="15" width="9.125" hidden="1" customWidth="1"/>
    <col min="16" max="18" width="11" hidden="1" customWidth="1"/>
    <col min="19" max="19" width="34.375" hidden="1" customWidth="1"/>
  </cols>
  <sheetData>
    <row r="1" spans="1:50" ht="24.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 t="s">
        <v>20</v>
      </c>
      <c r="V1" s="3" t="s">
        <v>21</v>
      </c>
      <c r="W1" s="2" t="s">
        <v>22</v>
      </c>
      <c r="X1" s="3" t="s">
        <v>21</v>
      </c>
      <c r="Y1" s="2" t="s">
        <v>23</v>
      </c>
      <c r="Z1" s="3" t="s">
        <v>21</v>
      </c>
      <c r="AA1" s="2" t="s">
        <v>24</v>
      </c>
      <c r="AB1" s="3" t="s">
        <v>21</v>
      </c>
      <c r="AC1" s="2" t="s">
        <v>25</v>
      </c>
      <c r="AD1" s="3" t="s">
        <v>21</v>
      </c>
      <c r="AE1" s="2" t="s">
        <v>26</v>
      </c>
      <c r="AF1" s="3" t="s">
        <v>21</v>
      </c>
      <c r="AG1" s="2" t="s">
        <v>27</v>
      </c>
      <c r="AH1" s="3" t="s">
        <v>21</v>
      </c>
      <c r="AI1" s="2" t="s">
        <v>28</v>
      </c>
      <c r="AJ1" s="3" t="s">
        <v>21</v>
      </c>
      <c r="AK1" s="2" t="s">
        <v>29</v>
      </c>
      <c r="AL1" s="3" t="s">
        <v>21</v>
      </c>
      <c r="AM1" s="2" t="s">
        <v>30</v>
      </c>
      <c r="AN1" s="3" t="s">
        <v>21</v>
      </c>
      <c r="AO1" s="2" t="s">
        <v>31</v>
      </c>
      <c r="AP1" s="3" t="s">
        <v>21</v>
      </c>
      <c r="AQ1" s="2" t="s">
        <v>32</v>
      </c>
      <c r="AR1" s="3" t="s">
        <v>21</v>
      </c>
      <c r="AS1" s="2" t="s">
        <v>33</v>
      </c>
      <c r="AT1" s="3" t="s">
        <v>21</v>
      </c>
      <c r="AU1" s="2" t="s">
        <v>34</v>
      </c>
      <c r="AV1" s="3" t="s">
        <v>21</v>
      </c>
      <c r="AW1" s="4" t="s">
        <v>35</v>
      </c>
    </row>
    <row r="2" spans="1:50" ht="24.95" customHeight="1" x14ac:dyDescent="0.25">
      <c r="A2" s="5" t="s">
        <v>36</v>
      </c>
      <c r="B2" s="5" t="s">
        <v>37</v>
      </c>
      <c r="C2" s="5" t="s">
        <v>38</v>
      </c>
      <c r="D2" s="5" t="s">
        <v>39</v>
      </c>
      <c r="E2" s="5" t="b">
        <v>0</v>
      </c>
      <c r="F2" s="5">
        <v>78003</v>
      </c>
      <c r="G2" s="5" t="s">
        <v>40</v>
      </c>
      <c r="H2" s="5" t="s">
        <v>41</v>
      </c>
      <c r="I2" s="5" t="s">
        <v>42</v>
      </c>
      <c r="J2" s="5" t="s">
        <v>43</v>
      </c>
      <c r="K2" s="5" t="s">
        <v>44</v>
      </c>
      <c r="L2" s="5" t="s">
        <v>45</v>
      </c>
      <c r="M2" s="5" t="s">
        <v>46</v>
      </c>
      <c r="N2" s="5" t="s">
        <v>47</v>
      </c>
      <c r="O2" s="5">
        <v>48998</v>
      </c>
      <c r="P2" s="5" t="s">
        <v>48</v>
      </c>
      <c r="Q2" s="5" t="s">
        <v>49</v>
      </c>
      <c r="R2" s="5" t="s">
        <v>50</v>
      </c>
      <c r="S2" s="5" t="s">
        <v>51</v>
      </c>
      <c r="T2" s="5" t="s">
        <v>52</v>
      </c>
      <c r="U2" s="6">
        <v>1</v>
      </c>
      <c r="V2" s="7" t="s">
        <v>53</v>
      </c>
      <c r="W2" s="6">
        <v>0</v>
      </c>
      <c r="X2" s="7" t="s">
        <v>54</v>
      </c>
      <c r="Y2" s="6">
        <v>1</v>
      </c>
      <c r="Z2" s="7" t="s">
        <v>55</v>
      </c>
      <c r="AA2" s="6">
        <v>0</v>
      </c>
      <c r="AB2" s="7" t="s">
        <v>54</v>
      </c>
      <c r="AC2" s="6">
        <v>0</v>
      </c>
      <c r="AD2" s="7" t="s">
        <v>54</v>
      </c>
      <c r="AE2" s="6">
        <v>1</v>
      </c>
      <c r="AF2" s="7" t="s">
        <v>56</v>
      </c>
      <c r="AG2" s="6">
        <v>0</v>
      </c>
      <c r="AH2" s="7" t="s">
        <v>54</v>
      </c>
      <c r="AI2" s="6">
        <v>0</v>
      </c>
      <c r="AJ2" s="7" t="s">
        <v>54</v>
      </c>
      <c r="AK2" s="6">
        <v>2</v>
      </c>
      <c r="AL2" s="7" t="s">
        <v>57</v>
      </c>
      <c r="AM2" s="6">
        <v>2</v>
      </c>
      <c r="AN2" s="7" t="s">
        <v>58</v>
      </c>
      <c r="AO2" s="6">
        <v>2</v>
      </c>
      <c r="AP2" s="7" t="s">
        <v>59</v>
      </c>
      <c r="AQ2" s="6">
        <v>2</v>
      </c>
      <c r="AR2" s="7" t="s">
        <v>60</v>
      </c>
      <c r="AS2" s="6">
        <v>2</v>
      </c>
      <c r="AT2" s="7" t="s">
        <v>61</v>
      </c>
      <c r="AU2" s="6">
        <v>2</v>
      </c>
      <c r="AV2" s="7"/>
      <c r="AW2" s="1">
        <f>U2+W2+Y2+AA2+AC2+AE2+AG2+AI2+AK2+AM2+AO2+AQ2+AS2+AU2</f>
        <v>15</v>
      </c>
    </row>
    <row r="3" spans="1:50" ht="21" customHeight="1" x14ac:dyDescent="0.25">
      <c r="A3" s="5" t="s">
        <v>36</v>
      </c>
      <c r="B3" s="5" t="s">
        <v>62</v>
      </c>
      <c r="C3" s="5" t="s">
        <v>63</v>
      </c>
      <c r="D3" s="5" t="s">
        <v>64</v>
      </c>
      <c r="E3" s="5" t="b">
        <v>0</v>
      </c>
      <c r="F3" s="5">
        <v>4874608</v>
      </c>
      <c r="G3" s="5" t="s">
        <v>65</v>
      </c>
      <c r="H3" s="5" t="s">
        <v>66</v>
      </c>
      <c r="I3" s="5" t="s">
        <v>67</v>
      </c>
      <c r="J3" s="5" t="s">
        <v>43</v>
      </c>
      <c r="K3" s="5" t="s">
        <v>68</v>
      </c>
      <c r="L3" s="5" t="s">
        <v>69</v>
      </c>
      <c r="M3" s="5" t="s">
        <v>70</v>
      </c>
      <c r="N3" s="5" t="s">
        <v>47</v>
      </c>
      <c r="O3" s="5">
        <v>4102490</v>
      </c>
      <c r="P3" s="5" t="s">
        <v>48</v>
      </c>
      <c r="Q3" s="5" t="s">
        <v>49</v>
      </c>
      <c r="R3" s="5" t="s">
        <v>71</v>
      </c>
      <c r="S3" s="5">
        <v>3</v>
      </c>
      <c r="T3" s="5" t="s">
        <v>72</v>
      </c>
      <c r="U3" s="6">
        <v>1</v>
      </c>
      <c r="V3" s="7" t="s">
        <v>73</v>
      </c>
      <c r="W3" s="6">
        <v>0</v>
      </c>
      <c r="X3" s="7" t="s">
        <v>54</v>
      </c>
      <c r="Y3" s="6">
        <v>2</v>
      </c>
      <c r="Z3" s="7" t="s">
        <v>74</v>
      </c>
      <c r="AA3" s="6">
        <v>2</v>
      </c>
      <c r="AB3" s="7" t="s">
        <v>75</v>
      </c>
      <c r="AC3" s="6">
        <v>0</v>
      </c>
      <c r="AD3" s="7" t="s">
        <v>54</v>
      </c>
      <c r="AE3" s="6">
        <v>1</v>
      </c>
      <c r="AF3" s="7" t="s">
        <v>76</v>
      </c>
      <c r="AG3" s="6">
        <v>0</v>
      </c>
      <c r="AH3" s="7" t="s">
        <v>54</v>
      </c>
      <c r="AI3" s="6">
        <v>1</v>
      </c>
      <c r="AJ3" s="7" t="s">
        <v>77</v>
      </c>
      <c r="AK3" s="6">
        <v>0</v>
      </c>
      <c r="AL3" s="7" t="s">
        <v>78</v>
      </c>
      <c r="AM3" s="6">
        <v>0</v>
      </c>
      <c r="AN3" s="7" t="s">
        <v>54</v>
      </c>
      <c r="AO3" s="6">
        <v>2</v>
      </c>
      <c r="AP3" s="7" t="s">
        <v>79</v>
      </c>
      <c r="AQ3" s="6">
        <v>2</v>
      </c>
      <c r="AR3" s="7" t="s">
        <v>80</v>
      </c>
      <c r="AS3" s="6">
        <v>2</v>
      </c>
      <c r="AT3" s="7" t="s">
        <v>81</v>
      </c>
      <c r="AU3" s="6">
        <v>2</v>
      </c>
      <c r="AV3" s="7"/>
      <c r="AW3" s="1">
        <f t="shared" ref="AW3:AW6" si="0">U3+W3+Y3+AA3+AC3+AE3+AG3+AI3+AK3+AM3+AO3+AQ3+AS3+AU3</f>
        <v>15</v>
      </c>
      <c r="AX3" s="8" t="s">
        <v>82</v>
      </c>
    </row>
    <row r="4" spans="1:50" ht="20.100000000000001" customHeight="1" x14ac:dyDescent="0.25">
      <c r="A4" s="5" t="s">
        <v>36</v>
      </c>
      <c r="B4" s="5" t="s">
        <v>83</v>
      </c>
      <c r="C4" s="5" t="s">
        <v>84</v>
      </c>
      <c r="D4" s="5" t="s">
        <v>84</v>
      </c>
      <c r="E4" s="5" t="b">
        <v>0</v>
      </c>
      <c r="F4" s="5">
        <v>263426</v>
      </c>
      <c r="G4" s="5" t="s">
        <v>85</v>
      </c>
      <c r="H4" s="5" t="s">
        <v>86</v>
      </c>
      <c r="I4" s="5" t="s">
        <v>42</v>
      </c>
      <c r="J4" s="5" t="s">
        <v>43</v>
      </c>
      <c r="K4" s="5" t="s">
        <v>87</v>
      </c>
      <c r="L4" s="5" t="s">
        <v>88</v>
      </c>
      <c r="M4" s="5" t="s">
        <v>89</v>
      </c>
      <c r="N4" s="5" t="s">
        <v>47</v>
      </c>
      <c r="O4" s="5">
        <v>257060</v>
      </c>
      <c r="P4" s="5" t="s">
        <v>48</v>
      </c>
      <c r="Q4" s="5" t="s">
        <v>49</v>
      </c>
      <c r="R4" s="5" t="s">
        <v>71</v>
      </c>
      <c r="S4" s="5" t="s">
        <v>51</v>
      </c>
      <c r="T4" s="5" t="s">
        <v>52</v>
      </c>
      <c r="U4" s="6">
        <v>0</v>
      </c>
      <c r="V4" s="7"/>
      <c r="W4" s="6">
        <v>0</v>
      </c>
      <c r="X4" s="7" t="s">
        <v>54</v>
      </c>
      <c r="Y4" s="6">
        <v>1</v>
      </c>
      <c r="Z4" s="7" t="s">
        <v>90</v>
      </c>
      <c r="AA4" s="6">
        <v>1</v>
      </c>
      <c r="AB4" s="7" t="s">
        <v>91</v>
      </c>
      <c r="AC4" s="6">
        <v>0</v>
      </c>
      <c r="AD4" s="7" t="s">
        <v>54</v>
      </c>
      <c r="AE4" s="6">
        <v>1</v>
      </c>
      <c r="AF4" s="7" t="s">
        <v>92</v>
      </c>
      <c r="AG4" s="6">
        <v>0</v>
      </c>
      <c r="AH4" s="7" t="s">
        <v>54</v>
      </c>
      <c r="AI4" s="6">
        <v>0</v>
      </c>
      <c r="AJ4" s="7" t="s">
        <v>54</v>
      </c>
      <c r="AK4" s="6">
        <v>0</v>
      </c>
      <c r="AL4" s="7" t="s">
        <v>93</v>
      </c>
      <c r="AM4" s="6">
        <v>2</v>
      </c>
      <c r="AN4" s="7" t="s">
        <v>91</v>
      </c>
      <c r="AO4" s="6">
        <v>2</v>
      </c>
      <c r="AP4" s="7" t="s">
        <v>94</v>
      </c>
      <c r="AQ4" s="6">
        <v>2</v>
      </c>
      <c r="AR4" s="7" t="s">
        <v>91</v>
      </c>
      <c r="AS4" s="6">
        <v>0</v>
      </c>
      <c r="AT4" s="7"/>
      <c r="AU4" s="6">
        <v>2</v>
      </c>
      <c r="AV4" s="7"/>
      <c r="AW4" s="1">
        <f t="shared" si="0"/>
        <v>11</v>
      </c>
      <c r="AX4" s="8"/>
    </row>
    <row r="5" spans="1:50" ht="24.95" customHeight="1" x14ac:dyDescent="0.25">
      <c r="A5" s="5" t="s">
        <v>36</v>
      </c>
      <c r="B5" s="5" t="s">
        <v>95</v>
      </c>
      <c r="C5" s="5" t="s">
        <v>96</v>
      </c>
      <c r="D5" s="5" t="s">
        <v>97</v>
      </c>
      <c r="E5" s="5" t="b">
        <v>0</v>
      </c>
      <c r="F5" s="5">
        <v>2071291</v>
      </c>
      <c r="G5" s="5" t="s">
        <v>98</v>
      </c>
      <c r="H5" s="5" t="s">
        <v>99</v>
      </c>
      <c r="I5" s="5" t="s">
        <v>67</v>
      </c>
      <c r="J5" s="5" t="s">
        <v>43</v>
      </c>
      <c r="K5" s="5" t="s">
        <v>100</v>
      </c>
      <c r="L5" s="5" t="s">
        <v>101</v>
      </c>
      <c r="M5" s="5" t="s">
        <v>102</v>
      </c>
      <c r="N5" s="5" t="s">
        <v>47</v>
      </c>
      <c r="O5" s="5">
        <v>1817677</v>
      </c>
      <c r="P5" s="5" t="s">
        <v>48</v>
      </c>
      <c r="Q5" s="5" t="s">
        <v>49</v>
      </c>
      <c r="R5" s="5" t="s">
        <v>71</v>
      </c>
      <c r="S5" s="5">
        <v>3</v>
      </c>
      <c r="T5" s="5" t="s">
        <v>103</v>
      </c>
      <c r="U5" s="6">
        <v>0</v>
      </c>
      <c r="V5" s="7"/>
      <c r="W5" s="6">
        <v>0</v>
      </c>
      <c r="X5" s="7" t="s">
        <v>54</v>
      </c>
      <c r="Y5" s="6">
        <v>2</v>
      </c>
      <c r="Z5" s="7" t="s">
        <v>104</v>
      </c>
      <c r="AA5" s="6">
        <v>1</v>
      </c>
      <c r="AB5" s="7" t="s">
        <v>105</v>
      </c>
      <c r="AC5" s="6">
        <v>1</v>
      </c>
      <c r="AD5" s="7" t="s">
        <v>106</v>
      </c>
      <c r="AE5" s="6">
        <v>2</v>
      </c>
      <c r="AF5" s="7" t="s">
        <v>107</v>
      </c>
      <c r="AG5" s="6">
        <v>0</v>
      </c>
      <c r="AH5" s="7" t="s">
        <v>54</v>
      </c>
      <c r="AI5" s="6">
        <v>1</v>
      </c>
      <c r="AJ5" s="7" t="s">
        <v>108</v>
      </c>
      <c r="AK5" s="6">
        <v>2</v>
      </c>
      <c r="AL5" s="7" t="s">
        <v>109</v>
      </c>
      <c r="AM5" s="6">
        <v>2</v>
      </c>
      <c r="AN5" s="7" t="s">
        <v>110</v>
      </c>
      <c r="AO5" s="6">
        <v>2</v>
      </c>
      <c r="AP5" s="7" t="s">
        <v>111</v>
      </c>
      <c r="AQ5" s="6">
        <v>2</v>
      </c>
      <c r="AR5" s="7"/>
      <c r="AS5" s="6">
        <v>2</v>
      </c>
      <c r="AT5" s="7" t="s">
        <v>112</v>
      </c>
      <c r="AU5" s="6">
        <v>2</v>
      </c>
      <c r="AV5" s="7" t="s">
        <v>113</v>
      </c>
      <c r="AW5" s="1">
        <f t="shared" si="0"/>
        <v>19</v>
      </c>
      <c r="AX5" s="8" t="s">
        <v>114</v>
      </c>
    </row>
    <row r="6" spans="1:50" ht="23.1" customHeight="1" x14ac:dyDescent="0.25">
      <c r="A6" s="5" t="s">
        <v>36</v>
      </c>
      <c r="B6" s="5" t="s">
        <v>115</v>
      </c>
      <c r="C6" s="5" t="s">
        <v>116</v>
      </c>
      <c r="D6" s="5" t="s">
        <v>117</v>
      </c>
      <c r="E6" s="5" t="b">
        <v>0</v>
      </c>
      <c r="F6" s="5">
        <v>27627237</v>
      </c>
      <c r="G6" s="5" t="s">
        <v>118</v>
      </c>
      <c r="H6" s="5" t="s">
        <v>119</v>
      </c>
      <c r="I6" s="5" t="s">
        <v>67</v>
      </c>
      <c r="J6" s="5" t="s">
        <v>43</v>
      </c>
      <c r="K6" s="5" t="s">
        <v>120</v>
      </c>
      <c r="L6" s="5" t="s">
        <v>121</v>
      </c>
      <c r="M6" s="5" t="s">
        <v>122</v>
      </c>
      <c r="N6" s="5" t="s">
        <v>47</v>
      </c>
      <c r="O6" s="5">
        <v>6530032</v>
      </c>
      <c r="P6" s="5" t="s">
        <v>48</v>
      </c>
      <c r="Q6" s="5" t="s">
        <v>49</v>
      </c>
      <c r="R6" s="5" t="s">
        <v>71</v>
      </c>
      <c r="S6" s="5">
        <v>5</v>
      </c>
      <c r="T6" s="5" t="s">
        <v>123</v>
      </c>
      <c r="U6" s="6">
        <v>2</v>
      </c>
      <c r="V6" s="9" t="s">
        <v>124</v>
      </c>
      <c r="W6" s="6">
        <v>2</v>
      </c>
      <c r="X6" s="9" t="s">
        <v>125</v>
      </c>
      <c r="Y6" s="6">
        <v>2</v>
      </c>
      <c r="Z6" s="9" t="s">
        <v>126</v>
      </c>
      <c r="AA6" s="6">
        <v>2</v>
      </c>
      <c r="AB6" s="9" t="s">
        <v>127</v>
      </c>
      <c r="AC6" s="6">
        <v>1</v>
      </c>
      <c r="AD6" s="7" t="s">
        <v>128</v>
      </c>
      <c r="AE6" s="6">
        <v>2</v>
      </c>
      <c r="AF6" s="9" t="s">
        <v>129</v>
      </c>
      <c r="AG6" s="6">
        <v>2</v>
      </c>
      <c r="AH6" s="7" t="s">
        <v>130</v>
      </c>
      <c r="AI6" s="6">
        <v>2</v>
      </c>
      <c r="AJ6" s="9" t="s">
        <v>131</v>
      </c>
      <c r="AK6" s="6">
        <v>1</v>
      </c>
      <c r="AL6" s="9" t="s">
        <v>132</v>
      </c>
      <c r="AM6" s="6">
        <v>2</v>
      </c>
      <c r="AN6" s="7" t="s">
        <v>133</v>
      </c>
      <c r="AO6" s="6">
        <v>2</v>
      </c>
      <c r="AP6" s="9" t="s">
        <v>129</v>
      </c>
      <c r="AQ6" s="6">
        <v>2</v>
      </c>
      <c r="AR6" s="9" t="s">
        <v>134</v>
      </c>
      <c r="AS6" s="6">
        <v>2</v>
      </c>
      <c r="AT6" s="10" t="s">
        <v>135</v>
      </c>
      <c r="AU6" s="6">
        <v>2</v>
      </c>
      <c r="AV6" s="9" t="s">
        <v>136</v>
      </c>
      <c r="AW6" s="1">
        <f t="shared" si="0"/>
        <v>26</v>
      </c>
    </row>
    <row r="7" spans="1:50" ht="23.1" customHeight="1" x14ac:dyDescent="0.25">
      <c r="A7" s="5" t="s">
        <v>36</v>
      </c>
      <c r="B7" s="5" t="s">
        <v>62</v>
      </c>
      <c r="C7" s="5" t="s">
        <v>137</v>
      </c>
      <c r="D7" s="5" t="s">
        <v>137</v>
      </c>
      <c r="E7" s="5" t="b">
        <v>0</v>
      </c>
      <c r="F7" s="5">
        <v>7565225</v>
      </c>
      <c r="G7" s="5" t="s">
        <v>138</v>
      </c>
      <c r="H7" s="5" t="s">
        <v>139</v>
      </c>
      <c r="I7" s="5" t="s">
        <v>67</v>
      </c>
      <c r="J7" s="5" t="s">
        <v>43</v>
      </c>
      <c r="K7" s="5" t="s">
        <v>140</v>
      </c>
      <c r="L7" s="5" t="s">
        <v>141</v>
      </c>
      <c r="M7" s="5" t="s">
        <v>102</v>
      </c>
      <c r="N7" s="5" t="s">
        <v>47</v>
      </c>
      <c r="O7" s="5">
        <v>6511891</v>
      </c>
      <c r="P7" s="5" t="s">
        <v>48</v>
      </c>
      <c r="Q7" s="5" t="s">
        <v>49</v>
      </c>
      <c r="R7" s="5" t="s">
        <v>71</v>
      </c>
      <c r="S7" s="5">
        <v>5</v>
      </c>
      <c r="T7" s="5" t="s">
        <v>72</v>
      </c>
      <c r="U7" s="6">
        <v>0</v>
      </c>
      <c r="V7" s="7"/>
      <c r="W7" s="6">
        <v>0</v>
      </c>
      <c r="X7" s="7"/>
      <c r="Y7" s="6">
        <v>2</v>
      </c>
      <c r="Z7" s="7" t="s">
        <v>142</v>
      </c>
      <c r="AA7" s="6">
        <v>0</v>
      </c>
      <c r="AB7" s="7"/>
      <c r="AC7" s="6">
        <v>0</v>
      </c>
      <c r="AD7" s="7"/>
      <c r="AE7" s="6">
        <v>2</v>
      </c>
      <c r="AF7" s="7" t="s">
        <v>143</v>
      </c>
      <c r="AG7" s="6">
        <v>2</v>
      </c>
      <c r="AH7" s="7" t="s">
        <v>144</v>
      </c>
      <c r="AI7" s="6">
        <v>0</v>
      </c>
      <c r="AJ7" s="7"/>
      <c r="AK7" s="6">
        <v>1</v>
      </c>
      <c r="AL7" s="7" t="s">
        <v>145</v>
      </c>
      <c r="AM7" s="6">
        <v>2</v>
      </c>
      <c r="AN7" s="7" t="s">
        <v>146</v>
      </c>
      <c r="AO7" s="6">
        <v>2</v>
      </c>
      <c r="AP7" s="7" t="s">
        <v>147</v>
      </c>
      <c r="AQ7" s="6">
        <v>2</v>
      </c>
      <c r="AR7" s="11" t="s">
        <v>148</v>
      </c>
      <c r="AS7" s="6">
        <v>0</v>
      </c>
      <c r="AT7" s="7"/>
      <c r="AU7" s="6">
        <v>2</v>
      </c>
      <c r="AV7" s="7"/>
      <c r="AW7" s="1">
        <f>SUM(U7:AU7)</f>
        <v>15</v>
      </c>
    </row>
    <row r="8" spans="1:50" ht="21" customHeight="1" x14ac:dyDescent="0.25">
      <c r="A8" s="5" t="s">
        <v>36</v>
      </c>
      <c r="B8" s="5" t="s">
        <v>149</v>
      </c>
      <c r="C8" s="5" t="s">
        <v>150</v>
      </c>
      <c r="D8" s="5" t="s">
        <v>151</v>
      </c>
      <c r="E8" s="5" t="b">
        <v>0</v>
      </c>
      <c r="F8" s="5">
        <v>94052</v>
      </c>
      <c r="G8" s="5" t="s">
        <v>152</v>
      </c>
      <c r="H8" s="5" t="s">
        <v>153</v>
      </c>
      <c r="I8" s="5" t="s">
        <v>42</v>
      </c>
      <c r="J8" s="5" t="s">
        <v>43</v>
      </c>
      <c r="K8" s="5" t="s">
        <v>154</v>
      </c>
      <c r="L8" s="5" t="s">
        <v>155</v>
      </c>
      <c r="M8" s="5" t="s">
        <v>156</v>
      </c>
      <c r="N8" s="5" t="s">
        <v>47</v>
      </c>
      <c r="O8" s="5">
        <v>82937</v>
      </c>
      <c r="P8" s="5" t="s">
        <v>48</v>
      </c>
      <c r="Q8" s="5" t="s">
        <v>49</v>
      </c>
      <c r="R8" s="5" t="s">
        <v>71</v>
      </c>
      <c r="S8" s="5" t="s">
        <v>51</v>
      </c>
      <c r="T8" s="5" t="s">
        <v>52</v>
      </c>
      <c r="U8" s="6">
        <v>0</v>
      </c>
      <c r="V8" s="7"/>
      <c r="W8" s="6">
        <v>1</v>
      </c>
      <c r="X8" s="7" t="s">
        <v>157</v>
      </c>
      <c r="Y8" s="6">
        <v>2</v>
      </c>
      <c r="Z8" s="9" t="s">
        <v>158</v>
      </c>
      <c r="AA8" s="6">
        <v>0</v>
      </c>
      <c r="AB8" s="7"/>
      <c r="AC8" s="6">
        <v>2</v>
      </c>
      <c r="AD8" s="7" t="s">
        <v>159</v>
      </c>
      <c r="AE8" s="6">
        <v>1</v>
      </c>
      <c r="AF8" s="7" t="s">
        <v>160</v>
      </c>
      <c r="AG8" s="6">
        <v>0</v>
      </c>
      <c r="AH8" s="7"/>
      <c r="AI8" s="6">
        <v>2</v>
      </c>
      <c r="AJ8" s="7" t="s">
        <v>161</v>
      </c>
      <c r="AK8" s="6">
        <v>1</v>
      </c>
      <c r="AL8" s="7" t="s">
        <v>162</v>
      </c>
      <c r="AM8" s="6">
        <v>2</v>
      </c>
      <c r="AN8" s="7" t="s">
        <v>163</v>
      </c>
      <c r="AO8" s="6">
        <v>2</v>
      </c>
      <c r="AP8" s="7" t="s">
        <v>164</v>
      </c>
      <c r="AQ8" s="6">
        <v>2</v>
      </c>
      <c r="AR8" s="7"/>
      <c r="AS8" s="6">
        <v>2</v>
      </c>
      <c r="AT8" s="7" t="s">
        <v>165</v>
      </c>
      <c r="AU8" s="6">
        <v>2</v>
      </c>
      <c r="AV8" s="7" t="s">
        <v>166</v>
      </c>
      <c r="AW8" s="1">
        <f t="shared" ref="AW8:AW71" si="1">SUM(U8:AU8)</f>
        <v>19</v>
      </c>
    </row>
    <row r="9" spans="1:50" ht="21.95" customHeight="1" x14ac:dyDescent="0.25">
      <c r="A9" s="5" t="s">
        <v>36</v>
      </c>
      <c r="B9" s="5" t="s">
        <v>167</v>
      </c>
      <c r="C9" s="5" t="s">
        <v>168</v>
      </c>
      <c r="D9" s="5" t="s">
        <v>169</v>
      </c>
      <c r="E9" s="5" t="b">
        <v>0</v>
      </c>
      <c r="F9" s="5">
        <v>1092577</v>
      </c>
      <c r="G9" s="5" t="s">
        <v>170</v>
      </c>
      <c r="H9" s="5" t="s">
        <v>171</v>
      </c>
      <c r="I9" s="5" t="s">
        <v>42</v>
      </c>
      <c r="J9" s="5" t="s">
        <v>43</v>
      </c>
      <c r="K9" s="5" t="s">
        <v>172</v>
      </c>
      <c r="L9" s="5" t="s">
        <v>173</v>
      </c>
      <c r="M9" s="5" t="s">
        <v>89</v>
      </c>
      <c r="N9" s="5" t="s">
        <v>47</v>
      </c>
      <c r="O9" s="5">
        <v>1043432</v>
      </c>
      <c r="P9" s="5" t="s">
        <v>48</v>
      </c>
      <c r="Q9" s="5" t="s">
        <v>49</v>
      </c>
      <c r="R9" s="5" t="s">
        <v>50</v>
      </c>
      <c r="S9" s="5">
        <v>4</v>
      </c>
      <c r="T9" s="5" t="s">
        <v>72</v>
      </c>
      <c r="U9" s="6">
        <v>1</v>
      </c>
      <c r="V9" s="7" t="s">
        <v>174</v>
      </c>
      <c r="W9" s="6">
        <v>0</v>
      </c>
      <c r="X9" s="7"/>
      <c r="Y9" s="6">
        <v>2</v>
      </c>
      <c r="Z9" s="7" t="s">
        <v>175</v>
      </c>
      <c r="AA9" s="6">
        <v>1</v>
      </c>
      <c r="AB9" s="12" t="s">
        <v>176</v>
      </c>
      <c r="AC9" s="6">
        <v>1</v>
      </c>
      <c r="AD9" s="7" t="s">
        <v>176</v>
      </c>
      <c r="AE9" s="6">
        <v>1</v>
      </c>
      <c r="AF9" s="7" t="s">
        <v>177</v>
      </c>
      <c r="AG9" s="6">
        <v>1</v>
      </c>
      <c r="AH9" s="7" t="s">
        <v>178</v>
      </c>
      <c r="AI9" s="6">
        <v>0</v>
      </c>
      <c r="AJ9" s="7"/>
      <c r="AK9" s="6">
        <v>0</v>
      </c>
      <c r="AL9" s="7" t="s">
        <v>179</v>
      </c>
      <c r="AM9" s="6">
        <v>2</v>
      </c>
      <c r="AN9" s="7" t="s">
        <v>180</v>
      </c>
      <c r="AO9" s="6">
        <v>2</v>
      </c>
      <c r="AP9" s="7" t="s">
        <v>181</v>
      </c>
      <c r="AQ9" s="6">
        <v>2</v>
      </c>
      <c r="AR9" s="11" t="s">
        <v>182</v>
      </c>
      <c r="AS9" s="6">
        <v>0</v>
      </c>
      <c r="AT9" s="7"/>
      <c r="AU9" s="6">
        <v>2</v>
      </c>
      <c r="AV9" s="7"/>
      <c r="AW9" s="1">
        <f t="shared" si="1"/>
        <v>15</v>
      </c>
    </row>
    <row r="10" spans="1:50" ht="27" customHeight="1" x14ac:dyDescent="0.25">
      <c r="A10" s="5" t="s">
        <v>36</v>
      </c>
      <c r="B10" s="5" t="s">
        <v>95</v>
      </c>
      <c r="C10" s="5" t="s">
        <v>183</v>
      </c>
      <c r="D10" s="5" t="s">
        <v>184</v>
      </c>
      <c r="E10" s="5" t="b">
        <v>0</v>
      </c>
      <c r="F10" s="5">
        <v>941618</v>
      </c>
      <c r="G10" s="5" t="s">
        <v>185</v>
      </c>
      <c r="H10" s="5" t="s">
        <v>186</v>
      </c>
      <c r="I10" s="5" t="s">
        <v>67</v>
      </c>
      <c r="J10" s="5" t="s">
        <v>43</v>
      </c>
      <c r="K10" s="5" t="s">
        <v>187</v>
      </c>
      <c r="L10" s="5" t="s">
        <v>188</v>
      </c>
      <c r="M10" s="5" t="s">
        <v>102</v>
      </c>
      <c r="N10" s="5" t="s">
        <v>47</v>
      </c>
      <c r="O10" s="5">
        <v>255079</v>
      </c>
      <c r="P10" s="5" t="s">
        <v>48</v>
      </c>
      <c r="Q10" s="5" t="s">
        <v>49</v>
      </c>
      <c r="R10" s="5" t="s">
        <v>71</v>
      </c>
      <c r="S10" s="5">
        <v>4</v>
      </c>
      <c r="T10" s="5" t="s">
        <v>72</v>
      </c>
      <c r="U10" s="6">
        <v>2</v>
      </c>
      <c r="V10" s="7" t="s">
        <v>189</v>
      </c>
      <c r="W10" s="6">
        <v>2</v>
      </c>
      <c r="X10" s="7" t="s">
        <v>190</v>
      </c>
      <c r="Y10" s="6">
        <v>2</v>
      </c>
      <c r="Z10" s="7" t="s">
        <v>191</v>
      </c>
      <c r="AA10" s="6">
        <v>0</v>
      </c>
      <c r="AB10" s="7"/>
      <c r="AC10" s="6">
        <v>0</v>
      </c>
      <c r="AD10" s="7"/>
      <c r="AE10" s="6">
        <v>2</v>
      </c>
      <c r="AF10" s="7" t="s">
        <v>192</v>
      </c>
      <c r="AG10" s="6">
        <v>1</v>
      </c>
      <c r="AH10" s="7" t="s">
        <v>193</v>
      </c>
      <c r="AI10" s="6">
        <v>2</v>
      </c>
      <c r="AJ10" s="7" t="s">
        <v>194</v>
      </c>
      <c r="AK10" s="6">
        <v>0</v>
      </c>
      <c r="AL10" s="7" t="s">
        <v>195</v>
      </c>
      <c r="AM10" s="6">
        <v>2</v>
      </c>
      <c r="AN10" s="7" t="s">
        <v>196</v>
      </c>
      <c r="AO10" s="6">
        <v>2</v>
      </c>
      <c r="AP10" s="7"/>
      <c r="AQ10" s="6">
        <v>2</v>
      </c>
      <c r="AR10" s="11" t="s">
        <v>197</v>
      </c>
      <c r="AS10" s="6">
        <v>2</v>
      </c>
      <c r="AT10" s="7" t="s">
        <v>198</v>
      </c>
      <c r="AU10" s="6">
        <v>2</v>
      </c>
      <c r="AV10" s="7" t="s">
        <v>199</v>
      </c>
      <c r="AW10" s="1">
        <f t="shared" si="1"/>
        <v>21</v>
      </c>
    </row>
    <row r="11" spans="1:50" ht="27" customHeight="1" x14ac:dyDescent="0.25">
      <c r="A11" s="5" t="s">
        <v>36</v>
      </c>
      <c r="B11" s="5" t="s">
        <v>167</v>
      </c>
      <c r="C11" s="5" t="s">
        <v>200</v>
      </c>
      <c r="D11" s="5" t="s">
        <v>200</v>
      </c>
      <c r="E11" s="5" t="b">
        <v>0</v>
      </c>
      <c r="F11" s="5">
        <v>351909</v>
      </c>
      <c r="G11" s="5" t="s">
        <v>201</v>
      </c>
      <c r="H11" s="5" t="s">
        <v>202</v>
      </c>
      <c r="I11" s="5" t="s">
        <v>42</v>
      </c>
      <c r="J11" s="5" t="s">
        <v>43</v>
      </c>
      <c r="K11" s="13" t="s">
        <v>203</v>
      </c>
      <c r="L11" s="5" t="s">
        <v>204</v>
      </c>
      <c r="M11" s="5" t="s">
        <v>89</v>
      </c>
      <c r="N11" s="5" t="s">
        <v>47</v>
      </c>
      <c r="O11" s="5">
        <v>193200</v>
      </c>
      <c r="P11" s="5" t="s">
        <v>48</v>
      </c>
      <c r="Q11" s="5" t="s">
        <v>49</v>
      </c>
      <c r="R11" s="5" t="s">
        <v>50</v>
      </c>
      <c r="S11" s="5" t="s">
        <v>51</v>
      </c>
      <c r="T11" s="5" t="s">
        <v>52</v>
      </c>
      <c r="U11" s="6">
        <v>1</v>
      </c>
      <c r="V11" s="7" t="s">
        <v>205</v>
      </c>
      <c r="W11" s="6">
        <v>2</v>
      </c>
      <c r="X11" t="s">
        <v>206</v>
      </c>
      <c r="Y11" s="6">
        <v>2</v>
      </c>
      <c r="Z11" t="s">
        <v>207</v>
      </c>
      <c r="AA11" s="6">
        <v>0</v>
      </c>
      <c r="AB11" s="7"/>
      <c r="AC11" s="6">
        <v>2</v>
      </c>
      <c r="AD11" t="s">
        <v>208</v>
      </c>
      <c r="AE11" s="6">
        <v>0</v>
      </c>
      <c r="AF11" s="7"/>
      <c r="AG11" s="6">
        <v>0</v>
      </c>
      <c r="AH11" s="7"/>
      <c r="AI11" s="6">
        <v>2</v>
      </c>
      <c r="AJ11" t="s">
        <v>209</v>
      </c>
      <c r="AK11" s="6">
        <v>2</v>
      </c>
      <c r="AL11" t="s">
        <v>210</v>
      </c>
      <c r="AM11" s="6">
        <v>1</v>
      </c>
      <c r="AN11" s="7" t="s">
        <v>211</v>
      </c>
      <c r="AO11" s="6">
        <v>2</v>
      </c>
      <c r="AP11" s="7"/>
      <c r="AQ11" s="6">
        <v>2</v>
      </c>
      <c r="AR11" s="7"/>
      <c r="AS11" s="6">
        <v>0</v>
      </c>
      <c r="AT11" s="7"/>
      <c r="AU11" s="6">
        <v>2</v>
      </c>
      <c r="AV11" s="7"/>
      <c r="AW11" s="1">
        <f t="shared" si="1"/>
        <v>18</v>
      </c>
    </row>
    <row r="12" spans="1:50" ht="18" customHeight="1" x14ac:dyDescent="0.25">
      <c r="A12" s="5" t="s">
        <v>36</v>
      </c>
      <c r="B12" s="5" t="s">
        <v>167</v>
      </c>
      <c r="C12" s="5" t="s">
        <v>212</v>
      </c>
      <c r="D12" s="5" t="s">
        <v>213</v>
      </c>
      <c r="E12" s="5" t="b">
        <v>0</v>
      </c>
      <c r="F12" s="5">
        <v>508539</v>
      </c>
      <c r="G12" s="5" t="s">
        <v>214</v>
      </c>
      <c r="H12" s="5" t="s">
        <v>215</v>
      </c>
      <c r="I12" s="5" t="s">
        <v>42</v>
      </c>
      <c r="J12" s="5" t="s">
        <v>43</v>
      </c>
      <c r="K12" s="5" t="s">
        <v>216</v>
      </c>
      <c r="L12" s="5" t="s">
        <v>217</v>
      </c>
      <c r="M12" s="5" t="s">
        <v>156</v>
      </c>
      <c r="N12" s="5" t="s">
        <v>47</v>
      </c>
      <c r="O12" s="5">
        <v>221113</v>
      </c>
      <c r="P12" s="5" t="s">
        <v>48</v>
      </c>
      <c r="Q12" s="5" t="s">
        <v>49</v>
      </c>
      <c r="R12" s="5" t="s">
        <v>50</v>
      </c>
      <c r="S12" s="5">
        <v>5</v>
      </c>
      <c r="T12" s="5" t="s">
        <v>72</v>
      </c>
      <c r="U12" s="6">
        <v>2</v>
      </c>
      <c r="V12" s="7" t="s">
        <v>218</v>
      </c>
      <c r="W12" s="6">
        <v>2</v>
      </c>
      <c r="X12" s="7"/>
      <c r="Y12" s="6">
        <v>2</v>
      </c>
      <c r="Z12" s="7" t="s">
        <v>219</v>
      </c>
      <c r="AA12" s="6">
        <v>1</v>
      </c>
      <c r="AB12" s="8" t="s">
        <v>220</v>
      </c>
      <c r="AC12" s="6">
        <v>2</v>
      </c>
      <c r="AD12" s="7" t="s">
        <v>219</v>
      </c>
      <c r="AE12" s="6">
        <v>2</v>
      </c>
      <c r="AF12" s="7" t="s">
        <v>219</v>
      </c>
      <c r="AG12" s="6">
        <v>1</v>
      </c>
      <c r="AH12" s="8" t="s">
        <v>221</v>
      </c>
      <c r="AI12" s="6">
        <v>0</v>
      </c>
      <c r="AJ12" s="7"/>
      <c r="AK12" s="6">
        <v>2</v>
      </c>
      <c r="AL12" s="7" t="s">
        <v>222</v>
      </c>
      <c r="AM12" s="6">
        <v>2</v>
      </c>
      <c r="AN12" s="7"/>
      <c r="AO12" s="6">
        <v>2</v>
      </c>
      <c r="AP12" s="7"/>
      <c r="AQ12" s="6">
        <v>2</v>
      </c>
      <c r="AR12" s="7"/>
      <c r="AS12" s="6">
        <v>2</v>
      </c>
      <c r="AT12" s="7"/>
      <c r="AU12" s="6">
        <v>2</v>
      </c>
      <c r="AV12" s="7"/>
      <c r="AW12" s="1">
        <f t="shared" si="1"/>
        <v>24</v>
      </c>
    </row>
    <row r="13" spans="1:50" ht="35.25" customHeight="1" x14ac:dyDescent="0.25">
      <c r="A13" s="5" t="s">
        <v>36</v>
      </c>
      <c r="B13" s="5" t="s">
        <v>223</v>
      </c>
      <c r="C13" s="5" t="s">
        <v>224</v>
      </c>
      <c r="D13" s="5" t="s">
        <v>224</v>
      </c>
      <c r="E13" s="5" t="b">
        <v>0</v>
      </c>
      <c r="F13" s="5">
        <v>703</v>
      </c>
      <c r="G13" s="5" t="s">
        <v>225</v>
      </c>
      <c r="H13" s="5" t="s">
        <v>226</v>
      </c>
      <c r="I13" s="5" t="s">
        <v>42</v>
      </c>
      <c r="J13" s="5" t="s">
        <v>43</v>
      </c>
      <c r="K13" s="5" t="s">
        <v>227</v>
      </c>
      <c r="L13" s="5" t="s">
        <v>228</v>
      </c>
      <c r="M13" s="5" t="s">
        <v>156</v>
      </c>
      <c r="N13" s="5" t="s">
        <v>47</v>
      </c>
      <c r="O13" s="5">
        <v>1</v>
      </c>
      <c r="P13" s="5" t="s">
        <v>48</v>
      </c>
      <c r="Q13" s="5" t="s">
        <v>49</v>
      </c>
      <c r="R13" s="5" t="s">
        <v>71</v>
      </c>
      <c r="S13" s="5" t="s">
        <v>51</v>
      </c>
      <c r="T13" s="5" t="s">
        <v>52</v>
      </c>
      <c r="U13" s="6">
        <v>0</v>
      </c>
      <c r="V13" s="7"/>
      <c r="W13" s="6">
        <v>1</v>
      </c>
      <c r="X13" t="s">
        <v>229</v>
      </c>
      <c r="Y13" s="6">
        <v>2</v>
      </c>
      <c r="Z13" s="7" t="s">
        <v>230</v>
      </c>
      <c r="AA13" s="6">
        <v>2</v>
      </c>
      <c r="AB13" s="7" t="s">
        <v>231</v>
      </c>
      <c r="AC13" s="6">
        <v>1</v>
      </c>
      <c r="AD13" t="s">
        <v>232</v>
      </c>
      <c r="AE13" s="6">
        <v>0</v>
      </c>
      <c r="AF13" s="7"/>
      <c r="AG13" s="6">
        <v>1</v>
      </c>
      <c r="AH13" s="7" t="s">
        <v>233</v>
      </c>
      <c r="AI13" s="6">
        <v>1</v>
      </c>
      <c r="AJ13" s="7" t="s">
        <v>234</v>
      </c>
      <c r="AK13" s="6">
        <v>0</v>
      </c>
      <c r="AL13" s="7"/>
      <c r="AM13" s="6">
        <v>0</v>
      </c>
      <c r="AN13" s="7"/>
      <c r="AO13" s="6">
        <v>2</v>
      </c>
      <c r="AP13" s="7"/>
      <c r="AQ13" s="6">
        <v>2</v>
      </c>
      <c r="AR13" s="7"/>
      <c r="AS13" s="6">
        <v>1</v>
      </c>
      <c r="AT13" s="7" t="s">
        <v>234</v>
      </c>
      <c r="AU13" s="6">
        <v>2</v>
      </c>
      <c r="AV13" s="7"/>
      <c r="AW13" s="1">
        <f t="shared" si="1"/>
        <v>15</v>
      </c>
    </row>
    <row r="14" spans="1:50" ht="41.25" customHeight="1" x14ac:dyDescent="0.25">
      <c r="A14" s="5" t="s">
        <v>36</v>
      </c>
      <c r="B14" s="5" t="s">
        <v>235</v>
      </c>
      <c r="C14" s="5" t="s">
        <v>236</v>
      </c>
      <c r="D14" s="5" t="s">
        <v>237</v>
      </c>
      <c r="E14" s="5" t="b">
        <v>0</v>
      </c>
      <c r="F14" s="5">
        <v>33625616</v>
      </c>
      <c r="G14" s="5" t="s">
        <v>238</v>
      </c>
      <c r="H14" s="5" t="s">
        <v>239</v>
      </c>
      <c r="I14" s="5" t="s">
        <v>67</v>
      </c>
      <c r="J14" s="5" t="s">
        <v>43</v>
      </c>
      <c r="K14" s="5" t="s">
        <v>240</v>
      </c>
      <c r="L14" s="5" t="s">
        <v>241</v>
      </c>
      <c r="M14" s="5" t="s">
        <v>242</v>
      </c>
      <c r="N14" s="5" t="s">
        <v>47</v>
      </c>
      <c r="O14" s="5">
        <v>26318693</v>
      </c>
      <c r="P14" s="5" t="s">
        <v>48</v>
      </c>
      <c r="Q14" s="5" t="s">
        <v>49</v>
      </c>
      <c r="R14" s="5" t="s">
        <v>50</v>
      </c>
      <c r="S14" s="5">
        <v>5</v>
      </c>
      <c r="T14" s="5" t="s">
        <v>123</v>
      </c>
      <c r="U14" s="6">
        <v>2</v>
      </c>
      <c r="V14" s="7" t="s">
        <v>243</v>
      </c>
      <c r="W14" s="6">
        <v>2</v>
      </c>
      <c r="X14" s="8" t="s">
        <v>244</v>
      </c>
      <c r="Y14" s="6">
        <v>2</v>
      </c>
      <c r="Z14" s="7" t="s">
        <v>245</v>
      </c>
      <c r="AA14" s="6">
        <v>1</v>
      </c>
      <c r="AB14" s="7" t="s">
        <v>246</v>
      </c>
      <c r="AC14" s="6">
        <v>2</v>
      </c>
      <c r="AD14" s="7" t="s">
        <v>247</v>
      </c>
      <c r="AE14" s="6">
        <v>2</v>
      </c>
      <c r="AF14" t="s">
        <v>248</v>
      </c>
      <c r="AG14" s="6">
        <v>1</v>
      </c>
      <c r="AH14" s="7" t="s">
        <v>249</v>
      </c>
      <c r="AI14" s="6">
        <v>2</v>
      </c>
      <c r="AJ14" s="7" t="s">
        <v>247</v>
      </c>
      <c r="AK14" s="6">
        <v>2</v>
      </c>
      <c r="AL14" s="7" t="s">
        <v>250</v>
      </c>
      <c r="AM14" s="6">
        <v>2</v>
      </c>
      <c r="AN14" s="7" t="s">
        <v>251</v>
      </c>
      <c r="AO14" s="6">
        <v>2</v>
      </c>
      <c r="AP14" s="7"/>
      <c r="AQ14" s="6">
        <v>2</v>
      </c>
      <c r="AR14" s="7"/>
      <c r="AS14" s="6">
        <v>2</v>
      </c>
      <c r="AT14" s="7" t="s">
        <v>252</v>
      </c>
      <c r="AU14" s="6">
        <v>2</v>
      </c>
      <c r="AV14" s="7"/>
      <c r="AW14" s="1">
        <f t="shared" si="1"/>
        <v>26</v>
      </c>
    </row>
    <row r="15" spans="1:50" ht="28.5" customHeight="1" x14ac:dyDescent="0.25">
      <c r="A15" s="5" t="s">
        <v>36</v>
      </c>
      <c r="B15" s="5" t="s">
        <v>253</v>
      </c>
      <c r="C15" s="5" t="s">
        <v>254</v>
      </c>
      <c r="D15" s="5" t="s">
        <v>255</v>
      </c>
      <c r="E15" s="5" t="b">
        <v>0</v>
      </c>
      <c r="F15" s="5">
        <v>17720553</v>
      </c>
      <c r="G15" s="5" t="s">
        <v>256</v>
      </c>
      <c r="H15" s="5" t="s">
        <v>257</v>
      </c>
      <c r="I15" s="5" t="s">
        <v>67</v>
      </c>
      <c r="J15" s="5" t="s">
        <v>43</v>
      </c>
      <c r="K15" s="5" t="s">
        <v>258</v>
      </c>
      <c r="L15" s="5" t="s">
        <v>259</v>
      </c>
      <c r="M15" s="5" t="s">
        <v>122</v>
      </c>
      <c r="N15" s="5" t="s">
        <v>47</v>
      </c>
      <c r="O15" s="5">
        <v>8813787</v>
      </c>
      <c r="P15" s="5" t="s">
        <v>48</v>
      </c>
      <c r="Q15" s="5" t="s">
        <v>49</v>
      </c>
      <c r="R15" s="5" t="s">
        <v>71</v>
      </c>
      <c r="S15" s="5">
        <v>5</v>
      </c>
      <c r="T15" s="5" t="s">
        <v>72</v>
      </c>
      <c r="U15" s="6">
        <v>1</v>
      </c>
      <c r="V15" t="s">
        <v>260</v>
      </c>
      <c r="W15" s="6">
        <v>2</v>
      </c>
      <c r="X15" s="7" t="s">
        <v>261</v>
      </c>
      <c r="Y15" s="6">
        <v>2</v>
      </c>
      <c r="Z15" s="7"/>
      <c r="AA15" s="6">
        <v>2</v>
      </c>
      <c r="AB15" t="s">
        <v>262</v>
      </c>
      <c r="AC15" s="6">
        <v>0</v>
      </c>
      <c r="AD15" s="7"/>
      <c r="AE15" s="6">
        <v>1</v>
      </c>
      <c r="AF15" s="7" t="s">
        <v>263</v>
      </c>
      <c r="AG15" s="6">
        <v>1</v>
      </c>
      <c r="AH15" t="s">
        <v>264</v>
      </c>
      <c r="AI15" s="6">
        <v>0</v>
      </c>
      <c r="AJ15" s="7"/>
      <c r="AK15" s="6">
        <v>1</v>
      </c>
      <c r="AL15" t="s">
        <v>265</v>
      </c>
      <c r="AM15" s="6">
        <v>2</v>
      </c>
      <c r="AN15" s="7"/>
      <c r="AO15" s="6">
        <v>2</v>
      </c>
      <c r="AP15" s="7"/>
      <c r="AQ15" s="6">
        <v>2</v>
      </c>
      <c r="AR15" s="7"/>
      <c r="AS15" s="6">
        <v>2</v>
      </c>
      <c r="AT15" s="7"/>
      <c r="AU15" s="6">
        <v>2</v>
      </c>
      <c r="AV15" s="7"/>
      <c r="AW15" s="1">
        <f t="shared" si="1"/>
        <v>20</v>
      </c>
    </row>
    <row r="16" spans="1:50" ht="23.25" customHeight="1" x14ac:dyDescent="0.25">
      <c r="A16" s="5" t="s">
        <v>36</v>
      </c>
      <c r="B16" s="5" t="s">
        <v>253</v>
      </c>
      <c r="C16" s="5" t="s">
        <v>266</v>
      </c>
      <c r="D16" s="5" t="s">
        <v>267</v>
      </c>
      <c r="E16" s="5" t="b">
        <v>0</v>
      </c>
      <c r="F16" s="5">
        <v>3818704</v>
      </c>
      <c r="G16" s="5" t="s">
        <v>268</v>
      </c>
      <c r="H16" s="5" t="s">
        <v>269</v>
      </c>
      <c r="I16" s="5" t="s">
        <v>67</v>
      </c>
      <c r="J16" s="5" t="s">
        <v>43</v>
      </c>
      <c r="K16" s="5" t="s">
        <v>270</v>
      </c>
      <c r="L16" s="5" t="s">
        <v>259</v>
      </c>
      <c r="M16" s="5" t="s">
        <v>122</v>
      </c>
      <c r="N16" s="5" t="s">
        <v>47</v>
      </c>
      <c r="O16" s="5">
        <v>3504397</v>
      </c>
      <c r="P16" s="5" t="s">
        <v>48</v>
      </c>
      <c r="Q16" s="5" t="s">
        <v>49</v>
      </c>
      <c r="R16" s="5" t="s">
        <v>71</v>
      </c>
      <c r="S16" s="5">
        <v>5</v>
      </c>
      <c r="T16" s="5" t="s">
        <v>72</v>
      </c>
      <c r="U16" s="6">
        <v>1</v>
      </c>
      <c r="V16" s="7" t="s">
        <v>271</v>
      </c>
      <c r="W16" s="6">
        <v>0</v>
      </c>
      <c r="X16" s="7"/>
      <c r="Y16" s="6">
        <v>2</v>
      </c>
      <c r="Z16" s="7"/>
      <c r="AA16" s="6">
        <v>0</v>
      </c>
      <c r="AB16" s="7"/>
      <c r="AC16" s="6">
        <v>0</v>
      </c>
      <c r="AD16" s="7"/>
      <c r="AE16" s="6">
        <v>0</v>
      </c>
      <c r="AF16" s="7"/>
      <c r="AG16" s="6">
        <v>1</v>
      </c>
      <c r="AH16" t="s">
        <v>264</v>
      </c>
      <c r="AI16" s="6">
        <v>0</v>
      </c>
      <c r="AJ16" s="7"/>
      <c r="AK16" s="6">
        <v>1</v>
      </c>
      <c r="AL16" t="s">
        <v>265</v>
      </c>
      <c r="AM16" s="6">
        <v>2</v>
      </c>
      <c r="AN16" s="7"/>
      <c r="AO16" s="6">
        <v>2</v>
      </c>
      <c r="AP16" s="7"/>
      <c r="AQ16" s="6">
        <v>2</v>
      </c>
      <c r="AR16" s="7"/>
      <c r="AS16" s="6">
        <v>2</v>
      </c>
      <c r="AT16" s="7"/>
      <c r="AU16" s="6">
        <v>2</v>
      </c>
      <c r="AV16" s="7"/>
      <c r="AW16" s="1">
        <f t="shared" si="1"/>
        <v>15</v>
      </c>
    </row>
    <row r="17" spans="1:50" ht="24" customHeight="1" x14ac:dyDescent="0.25">
      <c r="A17" s="5" t="s">
        <v>36</v>
      </c>
      <c r="B17" s="5" t="s">
        <v>62</v>
      </c>
      <c r="C17" s="5" t="s">
        <v>272</v>
      </c>
      <c r="D17" s="5" t="s">
        <v>272</v>
      </c>
      <c r="E17" s="5" t="b">
        <v>0</v>
      </c>
      <c r="F17" s="5">
        <v>312526</v>
      </c>
      <c r="G17" s="5" t="s">
        <v>273</v>
      </c>
      <c r="H17" s="5" t="s">
        <v>274</v>
      </c>
      <c r="I17" s="5" t="s">
        <v>42</v>
      </c>
      <c r="J17" s="5" t="s">
        <v>43</v>
      </c>
      <c r="K17" s="5" t="s">
        <v>275</v>
      </c>
      <c r="L17" s="5" t="s">
        <v>276</v>
      </c>
      <c r="M17" s="5" t="s">
        <v>277</v>
      </c>
      <c r="N17" s="5" t="s">
        <v>47</v>
      </c>
      <c r="O17" s="5">
        <v>289162</v>
      </c>
      <c r="P17" s="5" t="s">
        <v>48</v>
      </c>
      <c r="Q17" s="5" t="s">
        <v>49</v>
      </c>
      <c r="R17" s="5" t="s">
        <v>50</v>
      </c>
      <c r="S17" s="5" t="s">
        <v>51</v>
      </c>
      <c r="T17" s="5" t="s">
        <v>52</v>
      </c>
      <c r="U17" s="6">
        <v>0</v>
      </c>
      <c r="V17" s="7"/>
      <c r="W17" s="6">
        <v>1</v>
      </c>
      <c r="X17" t="s">
        <v>278</v>
      </c>
      <c r="Y17" s="6">
        <v>2</v>
      </c>
      <c r="Z17" s="7" t="s">
        <v>279</v>
      </c>
      <c r="AA17" s="6">
        <v>1</v>
      </c>
      <c r="AB17" t="s">
        <v>280</v>
      </c>
      <c r="AC17" s="6">
        <v>0</v>
      </c>
      <c r="AD17" s="7"/>
      <c r="AE17" s="6">
        <v>1</v>
      </c>
      <c r="AF17" s="7" t="s">
        <v>281</v>
      </c>
      <c r="AG17" s="6">
        <v>0</v>
      </c>
      <c r="AH17" s="7"/>
      <c r="AI17" s="6">
        <v>2</v>
      </c>
      <c r="AJ17" t="s">
        <v>282</v>
      </c>
      <c r="AK17" s="6">
        <v>0</v>
      </c>
      <c r="AL17" s="7"/>
      <c r="AM17" s="6">
        <v>2</v>
      </c>
      <c r="AN17" t="s">
        <v>283</v>
      </c>
      <c r="AO17" s="6">
        <v>2</v>
      </c>
      <c r="AP17" s="7"/>
      <c r="AQ17" s="6">
        <v>2</v>
      </c>
      <c r="AR17" s="7"/>
      <c r="AS17" s="6">
        <v>2</v>
      </c>
      <c r="AT17" t="s">
        <v>284</v>
      </c>
      <c r="AU17" s="6">
        <v>2</v>
      </c>
      <c r="AV17" s="7"/>
      <c r="AW17" s="1">
        <f>SUM(U17:AU17)</f>
        <v>17</v>
      </c>
    </row>
    <row r="18" spans="1:50" ht="21" customHeight="1" x14ac:dyDescent="0.25">
      <c r="A18" s="5" t="s">
        <v>36</v>
      </c>
      <c r="B18" s="5" t="s">
        <v>149</v>
      </c>
      <c r="C18" s="5" t="s">
        <v>285</v>
      </c>
      <c r="D18" s="5" t="s">
        <v>286</v>
      </c>
      <c r="E18" s="5" t="b">
        <v>0</v>
      </c>
      <c r="F18" s="5">
        <v>435078</v>
      </c>
      <c r="G18" s="5" t="s">
        <v>287</v>
      </c>
      <c r="H18" s="5" t="s">
        <v>288</v>
      </c>
      <c r="I18" s="5" t="s">
        <v>42</v>
      </c>
      <c r="J18" s="5" t="s">
        <v>43</v>
      </c>
      <c r="K18" s="5" t="s">
        <v>289</v>
      </c>
      <c r="L18" s="5" t="s">
        <v>290</v>
      </c>
      <c r="M18" s="5" t="s">
        <v>156</v>
      </c>
      <c r="N18" s="5" t="s">
        <v>47</v>
      </c>
      <c r="O18" s="5">
        <v>171915</v>
      </c>
      <c r="P18" s="5" t="s">
        <v>48</v>
      </c>
      <c r="Q18" s="5" t="s">
        <v>49</v>
      </c>
      <c r="R18" s="5" t="s">
        <v>71</v>
      </c>
      <c r="S18" s="5" t="s">
        <v>51</v>
      </c>
      <c r="T18" s="5" t="s">
        <v>52</v>
      </c>
      <c r="U18" s="6">
        <v>2</v>
      </c>
      <c r="V18" s="8" t="s">
        <v>291</v>
      </c>
      <c r="W18" s="6">
        <v>2</v>
      </c>
      <c r="X18" t="s">
        <v>292</v>
      </c>
      <c r="Y18" s="6">
        <v>2</v>
      </c>
      <c r="Z18" t="s">
        <v>293</v>
      </c>
      <c r="AA18" s="6">
        <v>0</v>
      </c>
      <c r="AB18" s="7"/>
      <c r="AC18" s="6">
        <v>0</v>
      </c>
      <c r="AD18" s="7"/>
      <c r="AE18" s="6">
        <v>0</v>
      </c>
      <c r="AF18" s="7"/>
      <c r="AG18" s="6">
        <v>0</v>
      </c>
      <c r="AH18" s="7"/>
      <c r="AI18" s="6">
        <v>0</v>
      </c>
      <c r="AJ18" s="7"/>
      <c r="AK18" s="6">
        <v>0</v>
      </c>
      <c r="AL18" s="7"/>
      <c r="AM18" s="6">
        <v>2</v>
      </c>
      <c r="AN18" t="s">
        <v>294</v>
      </c>
      <c r="AO18" s="6">
        <v>2</v>
      </c>
      <c r="AP18" s="7"/>
      <c r="AQ18" s="6">
        <v>2</v>
      </c>
      <c r="AR18" s="7"/>
      <c r="AS18" s="6">
        <v>0</v>
      </c>
      <c r="AT18" s="7"/>
      <c r="AU18" s="6">
        <v>2</v>
      </c>
      <c r="AV18" s="7"/>
      <c r="AW18" s="1">
        <f t="shared" si="1"/>
        <v>14</v>
      </c>
    </row>
    <row r="19" spans="1:50" x14ac:dyDescent="0.25">
      <c r="A19" s="5" t="s">
        <v>36</v>
      </c>
      <c r="B19" s="5" t="s">
        <v>253</v>
      </c>
      <c r="C19" s="5" t="s">
        <v>295</v>
      </c>
      <c r="D19" s="5" t="s">
        <v>295</v>
      </c>
      <c r="E19" s="5" t="b">
        <v>0</v>
      </c>
      <c r="F19" s="5">
        <v>30575</v>
      </c>
      <c r="G19" s="5" t="s">
        <v>296</v>
      </c>
      <c r="H19" s="5" t="s">
        <v>297</v>
      </c>
      <c r="I19" s="5" t="s">
        <v>42</v>
      </c>
      <c r="J19" s="5" t="s">
        <v>43</v>
      </c>
      <c r="K19" s="5" t="s">
        <v>298</v>
      </c>
      <c r="L19" s="5" t="s">
        <v>217</v>
      </c>
      <c r="M19" s="5" t="s">
        <v>299</v>
      </c>
      <c r="N19" s="5" t="s">
        <v>47</v>
      </c>
      <c r="O19" s="5">
        <v>30575</v>
      </c>
      <c r="P19" s="5" t="s">
        <v>48</v>
      </c>
      <c r="Q19" s="5" t="s">
        <v>49</v>
      </c>
      <c r="R19" s="5" t="s">
        <v>50</v>
      </c>
      <c r="S19" s="5">
        <v>5</v>
      </c>
      <c r="T19" s="5" t="s">
        <v>72</v>
      </c>
      <c r="U19" s="6">
        <v>1</v>
      </c>
      <c r="V19" t="s">
        <v>300</v>
      </c>
      <c r="W19" s="6">
        <v>2</v>
      </c>
      <c r="X19" s="7" t="s">
        <v>301</v>
      </c>
      <c r="Y19" s="6">
        <v>2</v>
      </c>
      <c r="Z19" s="7"/>
      <c r="AA19" s="6">
        <v>1</v>
      </c>
      <c r="AB19" t="s">
        <v>302</v>
      </c>
      <c r="AC19" s="6">
        <v>1</v>
      </c>
      <c r="AD19" t="s">
        <v>303</v>
      </c>
      <c r="AE19" s="6">
        <v>0</v>
      </c>
      <c r="AF19" s="7"/>
      <c r="AG19" s="6">
        <v>0</v>
      </c>
      <c r="AH19" s="7"/>
      <c r="AI19" s="6">
        <v>0</v>
      </c>
      <c r="AJ19" s="7"/>
      <c r="AK19" s="6">
        <v>2</v>
      </c>
      <c r="AL19" t="s">
        <v>304</v>
      </c>
      <c r="AM19" s="6">
        <v>2</v>
      </c>
      <c r="AN19" s="7"/>
      <c r="AO19" s="6">
        <v>2</v>
      </c>
      <c r="AP19" s="7"/>
      <c r="AQ19" s="6">
        <v>2</v>
      </c>
      <c r="AR19" s="7"/>
      <c r="AS19" s="6">
        <v>2</v>
      </c>
      <c r="AT19" s="7"/>
      <c r="AU19" s="6">
        <v>2</v>
      </c>
      <c r="AV19" s="7"/>
      <c r="AW19" s="1">
        <f t="shared" si="1"/>
        <v>19</v>
      </c>
      <c r="AX19" t="s">
        <v>305</v>
      </c>
    </row>
    <row r="20" spans="1:50" ht="21" customHeight="1" x14ac:dyDescent="0.25">
      <c r="A20" s="5" t="s">
        <v>36</v>
      </c>
      <c r="B20" s="5" t="s">
        <v>62</v>
      </c>
      <c r="C20" s="5" t="s">
        <v>306</v>
      </c>
      <c r="D20" s="5" t="s">
        <v>307</v>
      </c>
      <c r="E20" s="5" t="b">
        <v>0</v>
      </c>
      <c r="F20" s="5">
        <v>2597181</v>
      </c>
      <c r="G20" s="5" t="s">
        <v>308</v>
      </c>
      <c r="H20" s="5" t="s">
        <v>309</v>
      </c>
      <c r="I20" s="5" t="s">
        <v>67</v>
      </c>
      <c r="J20" s="5" t="s">
        <v>43</v>
      </c>
      <c r="K20" s="5" t="s">
        <v>310</v>
      </c>
      <c r="L20" s="5" t="s">
        <v>101</v>
      </c>
      <c r="M20" s="5" t="s">
        <v>102</v>
      </c>
      <c r="N20" s="5" t="s">
        <v>47</v>
      </c>
      <c r="O20" s="5">
        <v>2404441</v>
      </c>
      <c r="P20" s="5" t="s">
        <v>48</v>
      </c>
      <c r="Q20" s="5" t="s">
        <v>49</v>
      </c>
      <c r="R20" s="5" t="s">
        <v>71</v>
      </c>
      <c r="S20" s="5">
        <v>2</v>
      </c>
      <c r="T20" s="5" t="s">
        <v>72</v>
      </c>
      <c r="U20" s="6">
        <v>2</v>
      </c>
      <c r="V20" s="7" t="s">
        <v>311</v>
      </c>
      <c r="W20" s="6">
        <v>2</v>
      </c>
      <c r="X20" s="7" t="s">
        <v>312</v>
      </c>
      <c r="Y20" s="6">
        <v>2</v>
      </c>
      <c r="Z20" s="7" t="s">
        <v>313</v>
      </c>
      <c r="AA20" s="6">
        <v>0</v>
      </c>
      <c r="AB20" s="7"/>
      <c r="AC20" s="6">
        <v>0</v>
      </c>
      <c r="AD20" s="7"/>
      <c r="AE20" s="6">
        <v>2</v>
      </c>
      <c r="AF20" s="8" t="s">
        <v>314</v>
      </c>
      <c r="AG20" s="6">
        <v>0</v>
      </c>
      <c r="AH20" s="7"/>
      <c r="AI20" s="6">
        <v>0</v>
      </c>
      <c r="AJ20" s="7"/>
      <c r="AK20" s="6">
        <v>2</v>
      </c>
      <c r="AL20" t="s">
        <v>315</v>
      </c>
      <c r="AM20" s="6">
        <v>2</v>
      </c>
      <c r="AN20" s="7"/>
      <c r="AO20" s="6">
        <v>2</v>
      </c>
      <c r="AP20" s="7"/>
      <c r="AQ20" s="6">
        <v>2</v>
      </c>
      <c r="AR20" s="7"/>
      <c r="AS20" s="6">
        <v>2</v>
      </c>
      <c r="AT20" s="7"/>
      <c r="AU20" s="6">
        <v>2</v>
      </c>
      <c r="AV20" s="7"/>
      <c r="AW20" s="1">
        <f t="shared" si="1"/>
        <v>20</v>
      </c>
    </row>
    <row r="21" spans="1:50" ht="36" customHeight="1" x14ac:dyDescent="0.25">
      <c r="A21" s="5" t="s">
        <v>36</v>
      </c>
      <c r="B21" s="5" t="s">
        <v>235</v>
      </c>
      <c r="C21" s="5" t="s">
        <v>316</v>
      </c>
      <c r="D21" s="5" t="s">
        <v>316</v>
      </c>
      <c r="E21" s="5" t="b">
        <v>0</v>
      </c>
      <c r="F21" s="5">
        <v>39998290</v>
      </c>
      <c r="G21" s="5" t="s">
        <v>317</v>
      </c>
      <c r="H21" s="5" t="s">
        <v>318</v>
      </c>
      <c r="I21" s="5" t="s">
        <v>67</v>
      </c>
      <c r="J21" s="5" t="s">
        <v>43</v>
      </c>
      <c r="K21" s="5" t="s">
        <v>319</v>
      </c>
      <c r="L21" s="5" t="s">
        <v>320</v>
      </c>
      <c r="M21" s="5" t="s">
        <v>70</v>
      </c>
      <c r="N21" s="5" t="s">
        <v>47</v>
      </c>
      <c r="O21" s="5">
        <v>34632061</v>
      </c>
      <c r="P21" s="5" t="s">
        <v>48</v>
      </c>
      <c r="Q21" s="5" t="s">
        <v>49</v>
      </c>
      <c r="R21" s="5" t="s">
        <v>50</v>
      </c>
      <c r="S21" s="5">
        <v>5</v>
      </c>
      <c r="T21" s="5" t="s">
        <v>72</v>
      </c>
      <c r="U21" s="6">
        <v>2</v>
      </c>
      <c r="V21" s="7" t="s">
        <v>321</v>
      </c>
      <c r="W21" s="6">
        <v>2</v>
      </c>
      <c r="X21" s="7" t="s">
        <v>219</v>
      </c>
      <c r="Y21" s="6">
        <v>2</v>
      </c>
      <c r="Z21" s="7"/>
      <c r="AA21" s="6">
        <v>0</v>
      </c>
      <c r="AB21" s="7"/>
      <c r="AC21" s="6">
        <v>2</v>
      </c>
      <c r="AD21" s="7" t="s">
        <v>219</v>
      </c>
      <c r="AE21" s="6">
        <v>2</v>
      </c>
      <c r="AF21" s="7" t="s">
        <v>219</v>
      </c>
      <c r="AG21" s="6">
        <v>1</v>
      </c>
      <c r="AH21" s="7" t="s">
        <v>322</v>
      </c>
      <c r="AI21" s="6">
        <v>0</v>
      </c>
      <c r="AJ21" s="7"/>
      <c r="AK21" s="6">
        <v>2</v>
      </c>
      <c r="AL21" t="s">
        <v>323</v>
      </c>
      <c r="AM21" s="6">
        <v>2</v>
      </c>
      <c r="AN21" s="7"/>
      <c r="AO21" s="6">
        <v>2</v>
      </c>
      <c r="AP21" s="7"/>
      <c r="AQ21" s="6">
        <v>2</v>
      </c>
      <c r="AR21" s="7"/>
      <c r="AS21" s="6">
        <v>2</v>
      </c>
      <c r="AT21" s="7"/>
      <c r="AU21" s="6">
        <v>2</v>
      </c>
      <c r="AV21" s="7"/>
      <c r="AW21" s="1">
        <f t="shared" si="1"/>
        <v>23</v>
      </c>
    </row>
    <row r="22" spans="1:50" ht="34.5" customHeight="1" x14ac:dyDescent="0.25">
      <c r="A22" s="5" t="s">
        <v>36</v>
      </c>
      <c r="B22" s="5" t="s">
        <v>324</v>
      </c>
      <c r="C22" s="5" t="s">
        <v>325</v>
      </c>
      <c r="D22" s="5" t="s">
        <v>325</v>
      </c>
      <c r="E22" s="5" t="b">
        <v>0</v>
      </c>
      <c r="F22" s="5">
        <v>1138349</v>
      </c>
      <c r="G22" s="5" t="s">
        <v>326</v>
      </c>
      <c r="H22" s="5" t="s">
        <v>327</v>
      </c>
      <c r="I22" s="5" t="s">
        <v>42</v>
      </c>
      <c r="J22" s="5" t="s">
        <v>43</v>
      </c>
      <c r="K22" s="5" t="s">
        <v>328</v>
      </c>
      <c r="L22" s="5" t="s">
        <v>329</v>
      </c>
      <c r="M22" s="5" t="s">
        <v>330</v>
      </c>
      <c r="N22" s="5" t="s">
        <v>47</v>
      </c>
      <c r="O22" s="5">
        <v>890470</v>
      </c>
      <c r="P22" s="5" t="s">
        <v>48</v>
      </c>
      <c r="Q22" s="5" t="s">
        <v>49</v>
      </c>
      <c r="R22" s="5" t="s">
        <v>71</v>
      </c>
      <c r="S22" s="5" t="s">
        <v>51</v>
      </c>
      <c r="T22" s="5" t="s">
        <v>52</v>
      </c>
      <c r="U22" s="6">
        <v>0</v>
      </c>
      <c r="V22" s="7"/>
      <c r="W22" s="6">
        <v>1</v>
      </c>
      <c r="X22" t="s">
        <v>331</v>
      </c>
      <c r="Y22" s="6">
        <v>2</v>
      </c>
      <c r="Z22" s="7" t="s">
        <v>332</v>
      </c>
      <c r="AA22" s="6">
        <v>2</v>
      </c>
      <c r="AB22" s="8" t="s">
        <v>333</v>
      </c>
      <c r="AC22" s="6">
        <v>1</v>
      </c>
      <c r="AD22" t="s">
        <v>334</v>
      </c>
      <c r="AE22" s="6">
        <v>0</v>
      </c>
      <c r="AF22" s="7"/>
      <c r="AG22" s="6">
        <v>0</v>
      </c>
      <c r="AH22" s="7"/>
      <c r="AI22" s="6">
        <v>1</v>
      </c>
      <c r="AJ22" t="s">
        <v>335</v>
      </c>
      <c r="AK22" s="6">
        <v>2</v>
      </c>
      <c r="AL22" t="s">
        <v>336</v>
      </c>
      <c r="AM22" s="6">
        <v>1</v>
      </c>
      <c r="AN22" s="7" t="s">
        <v>337</v>
      </c>
      <c r="AO22" s="6">
        <v>2</v>
      </c>
      <c r="AP22" s="7"/>
      <c r="AQ22" s="6">
        <v>2</v>
      </c>
      <c r="AR22" s="7"/>
      <c r="AS22" s="6">
        <v>2</v>
      </c>
      <c r="AT22" t="s">
        <v>338</v>
      </c>
      <c r="AU22" s="6">
        <v>2</v>
      </c>
      <c r="AV22" s="7"/>
      <c r="AW22" s="1">
        <f t="shared" si="1"/>
        <v>18</v>
      </c>
    </row>
    <row r="23" spans="1:50" ht="21.75" customHeight="1" x14ac:dyDescent="0.25">
      <c r="A23" s="5" t="s">
        <v>36</v>
      </c>
      <c r="B23" s="5" t="s">
        <v>95</v>
      </c>
      <c r="C23" s="5" t="s">
        <v>339</v>
      </c>
      <c r="D23" s="5" t="s">
        <v>339</v>
      </c>
      <c r="E23" s="5" t="b">
        <v>0</v>
      </c>
      <c r="F23" s="5">
        <v>861351</v>
      </c>
      <c r="G23" s="5" t="s">
        <v>340</v>
      </c>
      <c r="H23" s="5" t="s">
        <v>341</v>
      </c>
      <c r="I23" s="5" t="s">
        <v>67</v>
      </c>
      <c r="J23" s="5" t="s">
        <v>43</v>
      </c>
      <c r="K23" s="5" t="s">
        <v>342</v>
      </c>
      <c r="L23" s="5" t="s">
        <v>101</v>
      </c>
      <c r="M23" s="5" t="s">
        <v>70</v>
      </c>
      <c r="N23" s="5" t="s">
        <v>47</v>
      </c>
      <c r="O23" s="5">
        <v>860930</v>
      </c>
      <c r="P23" s="5" t="s">
        <v>48</v>
      </c>
      <c r="Q23" s="5" t="s">
        <v>49</v>
      </c>
      <c r="R23" s="5" t="s">
        <v>71</v>
      </c>
      <c r="S23" s="5">
        <v>3</v>
      </c>
      <c r="T23" s="5" t="s">
        <v>72</v>
      </c>
      <c r="U23" s="6">
        <v>0</v>
      </c>
      <c r="V23" s="7"/>
      <c r="W23" s="6">
        <v>2</v>
      </c>
      <c r="X23" t="s">
        <v>343</v>
      </c>
      <c r="Y23" s="6">
        <v>2</v>
      </c>
      <c r="Z23" s="7"/>
      <c r="AA23" s="6">
        <v>0</v>
      </c>
      <c r="AB23" s="7"/>
      <c r="AC23" s="6">
        <v>0</v>
      </c>
      <c r="AD23" s="7"/>
      <c r="AE23" s="6">
        <v>2</v>
      </c>
      <c r="AF23" s="7" t="s">
        <v>344</v>
      </c>
      <c r="AG23" s="6">
        <v>0</v>
      </c>
      <c r="AH23" s="7"/>
      <c r="AI23" s="6">
        <v>1</v>
      </c>
      <c r="AJ23" s="7" t="s">
        <v>345</v>
      </c>
      <c r="AK23" s="6">
        <v>2</v>
      </c>
      <c r="AL23" t="s">
        <v>346</v>
      </c>
      <c r="AM23" s="6">
        <v>2</v>
      </c>
      <c r="AN23" s="7"/>
      <c r="AO23" s="6">
        <v>2</v>
      </c>
      <c r="AP23" s="7"/>
      <c r="AQ23" s="6">
        <v>2</v>
      </c>
      <c r="AR23" s="7"/>
      <c r="AS23" s="6">
        <v>2</v>
      </c>
      <c r="AT23" s="7"/>
      <c r="AU23" s="6">
        <v>2</v>
      </c>
      <c r="AV23" s="7"/>
      <c r="AW23" s="1">
        <f t="shared" si="1"/>
        <v>19</v>
      </c>
    </row>
    <row r="24" spans="1:50" ht="22.5" customHeight="1" x14ac:dyDescent="0.25">
      <c r="A24" s="5" t="s">
        <v>36</v>
      </c>
      <c r="B24" s="5" t="s">
        <v>37</v>
      </c>
      <c r="C24" s="5" t="s">
        <v>347</v>
      </c>
      <c r="D24" s="5" t="s">
        <v>348</v>
      </c>
      <c r="E24" s="5" t="b">
        <v>0</v>
      </c>
      <c r="F24" s="5">
        <v>96386</v>
      </c>
      <c r="G24" s="5" t="s">
        <v>349</v>
      </c>
      <c r="H24" s="5" t="s">
        <v>350</v>
      </c>
      <c r="I24" s="5" t="s">
        <v>42</v>
      </c>
      <c r="J24" s="5" t="s">
        <v>43</v>
      </c>
      <c r="K24" s="5" t="s">
        <v>351</v>
      </c>
      <c r="L24" s="5" t="s">
        <v>352</v>
      </c>
      <c r="M24" s="5" t="s">
        <v>156</v>
      </c>
      <c r="N24" s="5" t="s">
        <v>47</v>
      </c>
      <c r="O24" s="5">
        <v>80320</v>
      </c>
      <c r="P24" s="5" t="s">
        <v>48</v>
      </c>
      <c r="Q24" s="5" t="s">
        <v>49</v>
      </c>
      <c r="R24" s="5" t="s">
        <v>71</v>
      </c>
      <c r="S24" s="5" t="s">
        <v>51</v>
      </c>
      <c r="T24" s="5" t="s">
        <v>52</v>
      </c>
      <c r="U24" s="6">
        <v>0</v>
      </c>
      <c r="V24" s="7"/>
      <c r="W24" s="6">
        <v>0</v>
      </c>
      <c r="X24" s="7"/>
      <c r="Y24" s="6">
        <v>2</v>
      </c>
      <c r="Z24" s="7" t="s">
        <v>353</v>
      </c>
      <c r="AA24" s="6">
        <v>2</v>
      </c>
      <c r="AB24" s="7" t="s">
        <v>354</v>
      </c>
      <c r="AC24" s="6">
        <v>1</v>
      </c>
      <c r="AD24" s="8" t="s">
        <v>355</v>
      </c>
      <c r="AE24" s="6">
        <v>1</v>
      </c>
      <c r="AF24" t="s">
        <v>356</v>
      </c>
      <c r="AG24" s="6">
        <v>0</v>
      </c>
      <c r="AH24" s="7"/>
      <c r="AI24" s="6">
        <v>0</v>
      </c>
      <c r="AJ24" s="7"/>
      <c r="AK24" s="6">
        <v>0</v>
      </c>
      <c r="AL24" s="7"/>
      <c r="AM24" s="6">
        <v>2</v>
      </c>
      <c r="AN24" t="s">
        <v>357</v>
      </c>
      <c r="AO24" s="6">
        <v>2</v>
      </c>
      <c r="AP24" s="7"/>
      <c r="AQ24" s="6">
        <v>2</v>
      </c>
      <c r="AR24" s="7"/>
      <c r="AS24" s="6">
        <v>0</v>
      </c>
      <c r="AT24" s="7"/>
      <c r="AU24" s="6">
        <v>2</v>
      </c>
      <c r="AV24" s="7"/>
      <c r="AW24" s="1">
        <f t="shared" si="1"/>
        <v>14</v>
      </c>
    </row>
    <row r="25" spans="1:50" ht="31.5" customHeight="1" x14ac:dyDescent="0.25">
      <c r="A25" s="5" t="s">
        <v>36</v>
      </c>
      <c r="B25" s="5" t="s">
        <v>115</v>
      </c>
      <c r="C25" s="5" t="s">
        <v>358</v>
      </c>
      <c r="D25" s="5" t="s">
        <v>358</v>
      </c>
      <c r="E25" s="5" t="b">
        <v>0</v>
      </c>
      <c r="F25" s="5">
        <v>18874424</v>
      </c>
      <c r="G25" s="5" t="s">
        <v>359</v>
      </c>
      <c r="H25" s="5" t="s">
        <v>360</v>
      </c>
      <c r="I25" s="5" t="s">
        <v>67</v>
      </c>
      <c r="J25" s="5" t="s">
        <v>43</v>
      </c>
      <c r="K25" s="5" t="s">
        <v>361</v>
      </c>
      <c r="L25" s="5" t="s">
        <v>121</v>
      </c>
      <c r="M25" s="5" t="s">
        <v>102</v>
      </c>
      <c r="N25" s="5" t="s">
        <v>47</v>
      </c>
      <c r="O25" s="5">
        <v>13011931</v>
      </c>
      <c r="P25" s="5" t="s">
        <v>48</v>
      </c>
      <c r="Q25" s="5" t="s">
        <v>49</v>
      </c>
      <c r="R25" s="5" t="s">
        <v>71</v>
      </c>
      <c r="S25" s="5">
        <v>3</v>
      </c>
      <c r="T25" s="5" t="s">
        <v>72</v>
      </c>
      <c r="U25" s="6">
        <v>2</v>
      </c>
      <c r="V25" t="s">
        <v>362</v>
      </c>
      <c r="W25" s="6">
        <v>2</v>
      </c>
      <c r="X25" s="7" t="s">
        <v>301</v>
      </c>
      <c r="Y25" s="6">
        <v>2</v>
      </c>
      <c r="Z25" s="7"/>
      <c r="AA25" s="6">
        <v>0</v>
      </c>
      <c r="AB25" s="7"/>
      <c r="AC25" s="6">
        <v>0</v>
      </c>
      <c r="AD25" s="7"/>
      <c r="AE25" s="6">
        <v>2</v>
      </c>
      <c r="AF25" t="s">
        <v>362</v>
      </c>
      <c r="AG25" s="6">
        <v>2</v>
      </c>
      <c r="AH25" t="s">
        <v>363</v>
      </c>
      <c r="AI25" s="6">
        <v>0</v>
      </c>
      <c r="AJ25" s="7"/>
      <c r="AK25" s="6">
        <v>2</v>
      </c>
      <c r="AL25" s="8" t="s">
        <v>364</v>
      </c>
      <c r="AM25" s="6">
        <v>2</v>
      </c>
      <c r="AN25" s="7"/>
      <c r="AO25" s="6">
        <v>2</v>
      </c>
      <c r="AP25" s="7"/>
      <c r="AQ25" s="6">
        <v>2</v>
      </c>
      <c r="AR25" s="7"/>
      <c r="AS25" s="6">
        <v>2</v>
      </c>
      <c r="AT25" s="7"/>
      <c r="AU25" s="6">
        <v>2</v>
      </c>
      <c r="AV25" s="7"/>
      <c r="AW25" s="1">
        <f t="shared" si="1"/>
        <v>22</v>
      </c>
    </row>
    <row r="26" spans="1:50" ht="16.5" customHeight="1" x14ac:dyDescent="0.25">
      <c r="A26" s="5" t="s">
        <v>36</v>
      </c>
      <c r="B26" s="5" t="s">
        <v>167</v>
      </c>
      <c r="C26" s="5" t="s">
        <v>365</v>
      </c>
      <c r="D26" s="5" t="s">
        <v>365</v>
      </c>
      <c r="E26" s="5" t="b">
        <v>0</v>
      </c>
      <c r="F26" s="5">
        <v>625885</v>
      </c>
      <c r="G26" s="5" t="s">
        <v>366</v>
      </c>
      <c r="H26" s="5" t="s">
        <v>367</v>
      </c>
      <c r="I26" s="5" t="s">
        <v>42</v>
      </c>
      <c r="J26" s="5" t="s">
        <v>43</v>
      </c>
      <c r="K26" s="5" t="s">
        <v>368</v>
      </c>
      <c r="L26" s="5" t="s">
        <v>217</v>
      </c>
      <c r="M26" s="5" t="s">
        <v>299</v>
      </c>
      <c r="N26" s="5" t="s">
        <v>47</v>
      </c>
      <c r="O26" s="5">
        <v>620356</v>
      </c>
      <c r="P26" s="5" t="s">
        <v>48</v>
      </c>
      <c r="Q26" s="5" t="s">
        <v>49</v>
      </c>
      <c r="R26" s="5" t="s">
        <v>50</v>
      </c>
      <c r="S26" s="5">
        <v>5</v>
      </c>
      <c r="T26" s="5" t="s">
        <v>72</v>
      </c>
      <c r="U26" s="6">
        <v>2</v>
      </c>
      <c r="V26" t="s">
        <v>369</v>
      </c>
      <c r="W26" s="6">
        <v>2</v>
      </c>
      <c r="X26" s="7" t="s">
        <v>301</v>
      </c>
      <c r="Y26" s="6">
        <v>2</v>
      </c>
      <c r="Z26" s="7"/>
      <c r="AA26" s="6">
        <v>1</v>
      </c>
      <c r="AB26" t="s">
        <v>370</v>
      </c>
      <c r="AC26" s="6">
        <v>2</v>
      </c>
      <c r="AD26" s="8" t="s">
        <v>371</v>
      </c>
      <c r="AE26" s="6">
        <v>2</v>
      </c>
      <c r="AF26" t="s">
        <v>372</v>
      </c>
      <c r="AG26" s="6">
        <v>0</v>
      </c>
      <c r="AH26" s="7"/>
      <c r="AI26" s="6">
        <v>0</v>
      </c>
      <c r="AJ26" s="7"/>
      <c r="AK26" s="6">
        <v>2</v>
      </c>
      <c r="AL26" t="s">
        <v>373</v>
      </c>
      <c r="AM26" s="6">
        <v>2</v>
      </c>
      <c r="AN26" s="7"/>
      <c r="AO26" s="6">
        <v>2</v>
      </c>
      <c r="AP26" s="7"/>
      <c r="AQ26" s="6">
        <v>2</v>
      </c>
      <c r="AR26" s="7"/>
      <c r="AS26" s="6">
        <v>2</v>
      </c>
      <c r="AT26" s="7"/>
      <c r="AU26" s="6">
        <v>2</v>
      </c>
      <c r="AV26" s="7"/>
      <c r="AW26" s="1">
        <f>SUM(U26:AU26)</f>
        <v>23</v>
      </c>
    </row>
    <row r="27" spans="1:50" ht="28.5" customHeight="1" x14ac:dyDescent="0.25">
      <c r="A27" s="5" t="s">
        <v>36</v>
      </c>
      <c r="B27" s="5" t="s">
        <v>374</v>
      </c>
      <c r="C27" s="5" t="s">
        <v>375</v>
      </c>
      <c r="D27" s="5" t="s">
        <v>376</v>
      </c>
      <c r="E27" s="5" t="b">
        <v>0</v>
      </c>
      <c r="F27" s="5">
        <v>443610</v>
      </c>
      <c r="G27" s="5" t="s">
        <v>377</v>
      </c>
      <c r="H27" s="5" t="s">
        <v>378</v>
      </c>
      <c r="I27" s="5" t="s">
        <v>67</v>
      </c>
      <c r="J27" s="5" t="s">
        <v>43</v>
      </c>
      <c r="K27" s="5" t="s">
        <v>379</v>
      </c>
      <c r="L27" s="5" t="s">
        <v>380</v>
      </c>
      <c r="M27" s="5" t="s">
        <v>381</v>
      </c>
      <c r="N27" s="5" t="s">
        <v>47</v>
      </c>
      <c r="O27" s="5">
        <v>301215</v>
      </c>
      <c r="P27" s="5" t="s">
        <v>48</v>
      </c>
      <c r="Q27" s="5" t="s">
        <v>49</v>
      </c>
      <c r="R27" s="5" t="s">
        <v>71</v>
      </c>
      <c r="S27" s="5">
        <v>4</v>
      </c>
      <c r="T27" s="5" t="s">
        <v>72</v>
      </c>
      <c r="U27" s="6">
        <v>2</v>
      </c>
      <c r="V27" s="7" t="s">
        <v>382</v>
      </c>
      <c r="W27" s="6">
        <v>2</v>
      </c>
      <c r="X27" s="7" t="s">
        <v>219</v>
      </c>
      <c r="Y27" s="6">
        <v>2</v>
      </c>
      <c r="Z27" s="7"/>
      <c r="AA27" s="6">
        <v>0</v>
      </c>
      <c r="AB27" s="7"/>
      <c r="AC27" s="6">
        <v>2</v>
      </c>
      <c r="AD27" s="7" t="s">
        <v>219</v>
      </c>
      <c r="AE27" s="6">
        <v>2</v>
      </c>
      <c r="AF27" s="7" t="s">
        <v>219</v>
      </c>
      <c r="AG27" s="6">
        <v>0</v>
      </c>
      <c r="AH27" s="7"/>
      <c r="AI27" s="6">
        <v>1</v>
      </c>
      <c r="AJ27" t="s">
        <v>383</v>
      </c>
      <c r="AK27" s="6">
        <v>2</v>
      </c>
      <c r="AL27" t="s">
        <v>384</v>
      </c>
      <c r="AM27" s="6">
        <v>2</v>
      </c>
      <c r="AN27" s="7"/>
      <c r="AO27" s="6">
        <v>2</v>
      </c>
      <c r="AP27" s="7"/>
      <c r="AQ27" s="6">
        <v>2</v>
      </c>
      <c r="AR27" s="7"/>
      <c r="AS27" s="6">
        <v>2</v>
      </c>
      <c r="AT27" s="7"/>
      <c r="AU27" s="6">
        <v>2</v>
      </c>
      <c r="AV27" s="7"/>
      <c r="AW27" s="1">
        <f t="shared" si="1"/>
        <v>23</v>
      </c>
    </row>
    <row r="28" spans="1:50" ht="32.25" customHeight="1" x14ac:dyDescent="0.25">
      <c r="A28" s="5" t="s">
        <v>36</v>
      </c>
      <c r="B28" s="5" t="s">
        <v>253</v>
      </c>
      <c r="C28" s="5" t="s">
        <v>385</v>
      </c>
      <c r="D28" s="5" t="s">
        <v>386</v>
      </c>
      <c r="E28" s="5" t="b">
        <v>0</v>
      </c>
      <c r="F28" s="5">
        <v>61903</v>
      </c>
      <c r="G28" s="5" t="s">
        <v>387</v>
      </c>
      <c r="H28" s="5" t="s">
        <v>388</v>
      </c>
      <c r="I28" s="5" t="s">
        <v>42</v>
      </c>
      <c r="J28" s="5" t="s">
        <v>43</v>
      </c>
      <c r="K28" s="5" t="s">
        <v>389</v>
      </c>
      <c r="L28" s="5" t="s">
        <v>217</v>
      </c>
      <c r="M28" s="5" t="s">
        <v>89</v>
      </c>
      <c r="N28" s="5" t="s">
        <v>47</v>
      </c>
      <c r="O28" s="5">
        <v>61853</v>
      </c>
      <c r="P28" s="5" t="s">
        <v>48</v>
      </c>
      <c r="Q28" s="5" t="s">
        <v>49</v>
      </c>
      <c r="R28" s="5" t="s">
        <v>50</v>
      </c>
      <c r="S28" s="5">
        <v>5</v>
      </c>
      <c r="T28" s="5" t="s">
        <v>72</v>
      </c>
      <c r="U28" s="6">
        <v>1</v>
      </c>
      <c r="V28" t="s">
        <v>300</v>
      </c>
      <c r="W28" s="6">
        <v>2</v>
      </c>
      <c r="X28" s="7" t="s">
        <v>301</v>
      </c>
      <c r="Y28" s="6">
        <v>2</v>
      </c>
      <c r="Z28" s="7"/>
      <c r="AA28" s="6">
        <v>1</v>
      </c>
      <c r="AB28" t="s">
        <v>302</v>
      </c>
      <c r="AC28" s="6">
        <v>1</v>
      </c>
      <c r="AD28" t="s">
        <v>303</v>
      </c>
      <c r="AE28" s="6">
        <v>0</v>
      </c>
      <c r="AF28" s="7"/>
      <c r="AG28" s="6">
        <v>0</v>
      </c>
      <c r="AH28" s="7"/>
      <c r="AI28" s="6">
        <v>2</v>
      </c>
      <c r="AJ28" s="8" t="s">
        <v>390</v>
      </c>
      <c r="AK28" s="6">
        <v>2</v>
      </c>
      <c r="AL28" t="s">
        <v>304</v>
      </c>
      <c r="AM28" s="6">
        <v>2</v>
      </c>
      <c r="AN28" s="7"/>
      <c r="AO28" s="6">
        <v>2</v>
      </c>
      <c r="AP28" s="7"/>
      <c r="AQ28" s="6">
        <v>2</v>
      </c>
      <c r="AR28" s="7"/>
      <c r="AS28" s="6">
        <v>2</v>
      </c>
      <c r="AT28" s="7"/>
      <c r="AU28" s="6">
        <v>2</v>
      </c>
      <c r="AV28" s="7"/>
      <c r="AW28" s="1">
        <f t="shared" si="1"/>
        <v>21</v>
      </c>
    </row>
    <row r="29" spans="1:50" ht="21" customHeight="1" x14ac:dyDescent="0.25">
      <c r="A29" s="5" t="s">
        <v>36</v>
      </c>
      <c r="B29" s="5" t="s">
        <v>253</v>
      </c>
      <c r="C29" s="5" t="s">
        <v>391</v>
      </c>
      <c r="D29" s="5" t="s">
        <v>391</v>
      </c>
      <c r="E29" s="5" t="b">
        <v>0</v>
      </c>
      <c r="F29" s="5">
        <v>997867</v>
      </c>
      <c r="G29" s="5" t="s">
        <v>392</v>
      </c>
      <c r="H29" s="5" t="s">
        <v>393</v>
      </c>
      <c r="I29" s="5" t="s">
        <v>42</v>
      </c>
      <c r="J29" s="5" t="s">
        <v>43</v>
      </c>
      <c r="K29" s="13" t="s">
        <v>394</v>
      </c>
      <c r="L29" s="5" t="s">
        <v>217</v>
      </c>
      <c r="M29" s="5" t="s">
        <v>299</v>
      </c>
      <c r="N29" s="5" t="s">
        <v>47</v>
      </c>
      <c r="O29" s="5">
        <v>993582</v>
      </c>
      <c r="P29" s="5" t="s">
        <v>48</v>
      </c>
      <c r="Q29" s="5" t="s">
        <v>49</v>
      </c>
      <c r="R29" s="5" t="s">
        <v>50</v>
      </c>
      <c r="S29" s="5">
        <v>5</v>
      </c>
      <c r="T29" s="5" t="s">
        <v>72</v>
      </c>
      <c r="U29" s="6">
        <v>2</v>
      </c>
      <c r="V29" s="7" t="s">
        <v>395</v>
      </c>
      <c r="W29" s="6">
        <v>2</v>
      </c>
      <c r="X29" s="7" t="s">
        <v>219</v>
      </c>
      <c r="Y29" s="6">
        <v>2</v>
      </c>
      <c r="Z29" s="7"/>
      <c r="AA29" s="6">
        <v>0</v>
      </c>
      <c r="AB29" s="7"/>
      <c r="AC29" s="6">
        <v>2</v>
      </c>
      <c r="AD29" s="7" t="s">
        <v>219</v>
      </c>
      <c r="AE29" s="6">
        <v>2</v>
      </c>
      <c r="AF29" s="7" t="s">
        <v>219</v>
      </c>
      <c r="AG29" s="6">
        <v>1</v>
      </c>
      <c r="AH29" s="7" t="s">
        <v>396</v>
      </c>
      <c r="AI29" s="6">
        <v>2</v>
      </c>
      <c r="AJ29" t="s">
        <v>397</v>
      </c>
      <c r="AK29" s="6">
        <v>2</v>
      </c>
      <c r="AL29" t="s">
        <v>398</v>
      </c>
      <c r="AM29" s="6">
        <v>2</v>
      </c>
      <c r="AN29" s="7"/>
      <c r="AO29" s="6">
        <v>2</v>
      </c>
      <c r="AP29" s="7"/>
      <c r="AQ29" s="6">
        <v>2</v>
      </c>
      <c r="AR29" s="7"/>
      <c r="AS29" s="6">
        <v>2</v>
      </c>
      <c r="AT29" s="7"/>
      <c r="AU29" s="6">
        <v>2</v>
      </c>
      <c r="AV29" s="7"/>
      <c r="AW29" s="1">
        <f>SUM(U29:AU29)</f>
        <v>25</v>
      </c>
    </row>
    <row r="30" spans="1:50" ht="31.5" customHeight="1" x14ac:dyDescent="0.25">
      <c r="A30" s="5" t="s">
        <v>36</v>
      </c>
      <c r="B30" s="5" t="s">
        <v>399</v>
      </c>
      <c r="C30" s="5" t="s">
        <v>400</v>
      </c>
      <c r="D30" s="5" t="s">
        <v>400</v>
      </c>
      <c r="E30" s="5" t="b">
        <v>0</v>
      </c>
      <c r="F30" s="5">
        <v>2672520</v>
      </c>
      <c r="G30" s="5" t="s">
        <v>401</v>
      </c>
      <c r="H30" s="5" t="s">
        <v>402</v>
      </c>
      <c r="I30" s="5" t="s">
        <v>67</v>
      </c>
      <c r="J30" s="5" t="s">
        <v>43</v>
      </c>
      <c r="K30" s="5" t="s">
        <v>403</v>
      </c>
      <c r="L30" s="5" t="s">
        <v>404</v>
      </c>
      <c r="M30" s="5" t="s">
        <v>70</v>
      </c>
      <c r="N30" s="5" t="s">
        <v>47</v>
      </c>
      <c r="O30" s="5">
        <v>2229623</v>
      </c>
      <c r="P30" s="5" t="s">
        <v>48</v>
      </c>
      <c r="Q30" s="5" t="s">
        <v>49</v>
      </c>
      <c r="R30" s="5" t="s">
        <v>50</v>
      </c>
      <c r="S30" s="5">
        <v>4</v>
      </c>
      <c r="T30" s="5" t="s">
        <v>72</v>
      </c>
      <c r="U30" s="14">
        <v>2</v>
      </c>
      <c r="V30" t="s">
        <v>405</v>
      </c>
      <c r="W30" s="6">
        <v>2</v>
      </c>
      <c r="X30" t="s">
        <v>406</v>
      </c>
      <c r="Y30" s="6">
        <v>2</v>
      </c>
      <c r="Z30" s="7"/>
      <c r="AA30" s="6">
        <v>0</v>
      </c>
      <c r="AB30" s="7"/>
      <c r="AC30" s="6">
        <v>0</v>
      </c>
      <c r="AD30" s="7"/>
      <c r="AE30" s="6">
        <v>1</v>
      </c>
      <c r="AF30" s="8" t="s">
        <v>407</v>
      </c>
      <c r="AG30" s="6">
        <v>1</v>
      </c>
      <c r="AH30" t="s">
        <v>408</v>
      </c>
      <c r="AI30" s="6">
        <v>0</v>
      </c>
      <c r="AJ30" s="7"/>
      <c r="AK30" s="6">
        <v>2</v>
      </c>
      <c r="AL30" s="8" t="s">
        <v>409</v>
      </c>
      <c r="AM30" s="6">
        <v>2</v>
      </c>
      <c r="AN30" s="7"/>
      <c r="AO30" s="6">
        <v>2</v>
      </c>
      <c r="AP30" s="7"/>
      <c r="AQ30" s="6">
        <v>2</v>
      </c>
      <c r="AR30" s="7"/>
      <c r="AS30" s="6">
        <v>2</v>
      </c>
      <c r="AT30" s="7"/>
      <c r="AU30" s="6">
        <v>2</v>
      </c>
      <c r="AV30" s="7"/>
      <c r="AW30" s="1">
        <f t="shared" si="1"/>
        <v>20</v>
      </c>
    </row>
    <row r="31" spans="1:50" ht="26.25" customHeight="1" x14ac:dyDescent="0.25">
      <c r="A31" s="5" t="s">
        <v>36</v>
      </c>
      <c r="B31" s="5" t="s">
        <v>410</v>
      </c>
      <c r="C31" s="5" t="s">
        <v>411</v>
      </c>
      <c r="D31" s="5" t="s">
        <v>412</v>
      </c>
      <c r="E31" s="5" t="b">
        <v>0</v>
      </c>
      <c r="F31" s="5">
        <v>460699</v>
      </c>
      <c r="G31" s="5" t="s">
        <v>413</v>
      </c>
      <c r="H31" s="5" t="s">
        <v>414</v>
      </c>
      <c r="I31" s="5" t="s">
        <v>42</v>
      </c>
      <c r="J31" s="5" t="s">
        <v>43</v>
      </c>
      <c r="K31" s="5" t="s">
        <v>415</v>
      </c>
      <c r="L31" s="5" t="s">
        <v>416</v>
      </c>
      <c r="M31" s="5" t="s">
        <v>156</v>
      </c>
      <c r="N31" s="5" t="s">
        <v>47</v>
      </c>
      <c r="O31" s="5">
        <v>434481</v>
      </c>
      <c r="P31" s="5" t="s">
        <v>48</v>
      </c>
      <c r="Q31" s="5" t="s">
        <v>49</v>
      </c>
      <c r="R31" s="5" t="s">
        <v>71</v>
      </c>
      <c r="S31" s="5" t="s">
        <v>51</v>
      </c>
      <c r="T31" s="5" t="s">
        <v>52</v>
      </c>
      <c r="U31" s="6">
        <v>1</v>
      </c>
      <c r="V31" t="s">
        <v>417</v>
      </c>
      <c r="W31" s="6">
        <v>2</v>
      </c>
      <c r="X31" s="8" t="s">
        <v>418</v>
      </c>
      <c r="Y31" s="6">
        <v>1</v>
      </c>
      <c r="Z31" s="7" t="s">
        <v>419</v>
      </c>
      <c r="AA31" s="6">
        <v>0</v>
      </c>
      <c r="AB31" s="7"/>
      <c r="AC31" s="6">
        <v>1</v>
      </c>
      <c r="AD31" t="s">
        <v>420</v>
      </c>
      <c r="AE31" s="6">
        <v>0</v>
      </c>
      <c r="AF31" s="7"/>
      <c r="AG31" s="6">
        <v>0</v>
      </c>
      <c r="AH31" s="7"/>
      <c r="AI31" s="6">
        <v>0</v>
      </c>
      <c r="AJ31" s="7"/>
      <c r="AK31" s="6">
        <v>0</v>
      </c>
      <c r="AL31" s="7"/>
      <c r="AM31" s="6">
        <v>0</v>
      </c>
      <c r="AN31" s="7"/>
      <c r="AO31" s="6">
        <v>2</v>
      </c>
      <c r="AP31" s="7"/>
      <c r="AQ31" s="6">
        <v>2</v>
      </c>
      <c r="AR31" s="7"/>
      <c r="AS31" s="6">
        <v>0</v>
      </c>
      <c r="AT31" s="7"/>
      <c r="AU31" s="6">
        <v>2</v>
      </c>
      <c r="AV31" s="7"/>
      <c r="AW31" s="1">
        <f t="shared" si="1"/>
        <v>11</v>
      </c>
    </row>
    <row r="32" spans="1:50" ht="20.100000000000001" customHeight="1" x14ac:dyDescent="0.25">
      <c r="A32" t="s">
        <v>36</v>
      </c>
      <c r="B32" t="s">
        <v>374</v>
      </c>
      <c r="C32" t="s">
        <v>421</v>
      </c>
      <c r="D32" t="s">
        <v>421</v>
      </c>
      <c r="E32" t="b">
        <v>0</v>
      </c>
      <c r="F32">
        <v>27094417</v>
      </c>
      <c r="G32" t="s">
        <v>422</v>
      </c>
      <c r="H32" t="s">
        <v>423</v>
      </c>
      <c r="I32" t="s">
        <v>67</v>
      </c>
      <c r="J32" t="s">
        <v>43</v>
      </c>
      <c r="K32" t="s">
        <v>424</v>
      </c>
      <c r="L32" t="s">
        <v>101</v>
      </c>
      <c r="M32" t="s">
        <v>70</v>
      </c>
      <c r="N32" t="s">
        <v>47</v>
      </c>
      <c r="O32">
        <v>20028285</v>
      </c>
      <c r="P32" t="s">
        <v>48</v>
      </c>
      <c r="Q32" t="s">
        <v>49</v>
      </c>
      <c r="R32" t="s">
        <v>71</v>
      </c>
      <c r="S32">
        <v>4</v>
      </c>
      <c r="T32" t="s">
        <v>72</v>
      </c>
      <c r="U32" s="15">
        <v>2</v>
      </c>
      <c r="V32" s="8" t="s">
        <v>425</v>
      </c>
      <c r="W32" s="16">
        <v>2</v>
      </c>
      <c r="Y32" s="16">
        <v>2</v>
      </c>
      <c r="AA32" s="16">
        <v>2</v>
      </c>
      <c r="AB32" s="8" t="s">
        <v>426</v>
      </c>
      <c r="AC32" s="16">
        <v>2</v>
      </c>
      <c r="AE32" s="16">
        <v>2</v>
      </c>
      <c r="AG32" s="16">
        <v>2</v>
      </c>
      <c r="AH32" t="s">
        <v>427</v>
      </c>
      <c r="AI32" s="16">
        <v>1</v>
      </c>
      <c r="AJ32" s="8" t="s">
        <v>428</v>
      </c>
      <c r="AK32" s="16">
        <v>2</v>
      </c>
      <c r="AL32" s="8" t="s">
        <v>429</v>
      </c>
      <c r="AM32" s="16">
        <v>2</v>
      </c>
      <c r="AO32" s="16">
        <v>2</v>
      </c>
      <c r="AQ32" s="16">
        <v>2</v>
      </c>
      <c r="AS32" s="16">
        <v>2</v>
      </c>
      <c r="AU32" s="16">
        <v>2</v>
      </c>
      <c r="AW32" s="1">
        <f t="shared" si="1"/>
        <v>27</v>
      </c>
    </row>
    <row r="33" spans="1:49" ht="22.5" customHeight="1" x14ac:dyDescent="0.25">
      <c r="A33" t="s">
        <v>36</v>
      </c>
      <c r="B33" t="s">
        <v>399</v>
      </c>
      <c r="C33" t="s">
        <v>430</v>
      </c>
      <c r="D33" t="s">
        <v>431</v>
      </c>
      <c r="E33" t="b">
        <v>0</v>
      </c>
      <c r="F33">
        <v>482771</v>
      </c>
      <c r="G33" t="s">
        <v>432</v>
      </c>
      <c r="H33" t="s">
        <v>433</v>
      </c>
      <c r="I33" t="s">
        <v>42</v>
      </c>
      <c r="J33" t="s">
        <v>43</v>
      </c>
      <c r="K33" t="s">
        <v>434</v>
      </c>
      <c r="L33" t="s">
        <v>435</v>
      </c>
      <c r="M33" t="s">
        <v>330</v>
      </c>
      <c r="N33" t="s">
        <v>47</v>
      </c>
      <c r="O33">
        <v>331555</v>
      </c>
      <c r="P33" t="s">
        <v>48</v>
      </c>
      <c r="Q33" t="s">
        <v>49</v>
      </c>
      <c r="R33" t="s">
        <v>71</v>
      </c>
      <c r="S33" t="s">
        <v>51</v>
      </c>
      <c r="T33" t="s">
        <v>52</v>
      </c>
      <c r="U33">
        <v>1</v>
      </c>
      <c r="V33" t="s">
        <v>436</v>
      </c>
      <c r="W33">
        <v>2</v>
      </c>
      <c r="X33" s="8" t="s">
        <v>437</v>
      </c>
      <c r="Y33">
        <v>2</v>
      </c>
      <c r="Z33" t="s">
        <v>438</v>
      </c>
      <c r="AA33">
        <v>2</v>
      </c>
      <c r="AB33" s="8" t="s">
        <v>439</v>
      </c>
      <c r="AC33">
        <v>2</v>
      </c>
      <c r="AD33" s="8" t="s">
        <v>440</v>
      </c>
      <c r="AE33">
        <v>2</v>
      </c>
      <c r="AF33" t="s">
        <v>441</v>
      </c>
      <c r="AG33">
        <v>2</v>
      </c>
      <c r="AH33" s="8" t="s">
        <v>442</v>
      </c>
      <c r="AI33">
        <v>0</v>
      </c>
      <c r="AK33">
        <v>2</v>
      </c>
      <c r="AL33" s="8" t="s">
        <v>443</v>
      </c>
      <c r="AM33">
        <v>2</v>
      </c>
      <c r="AN33" t="s">
        <v>438</v>
      </c>
      <c r="AO33">
        <v>2</v>
      </c>
      <c r="AP33" t="s">
        <v>438</v>
      </c>
      <c r="AQ33">
        <v>2</v>
      </c>
      <c r="AR33" t="s">
        <v>438</v>
      </c>
      <c r="AS33">
        <v>0</v>
      </c>
      <c r="AU33">
        <v>2</v>
      </c>
      <c r="AV33" t="s">
        <v>438</v>
      </c>
      <c r="AW33" s="1">
        <f t="shared" si="1"/>
        <v>23</v>
      </c>
    </row>
    <row r="34" spans="1:49" ht="20.25" customHeight="1" x14ac:dyDescent="0.25">
      <c r="A34" t="s">
        <v>36</v>
      </c>
      <c r="B34" t="s">
        <v>374</v>
      </c>
      <c r="C34" t="s">
        <v>307</v>
      </c>
      <c r="D34" t="s">
        <v>376</v>
      </c>
      <c r="E34" t="b">
        <v>0</v>
      </c>
      <c r="F34">
        <v>1021146</v>
      </c>
      <c r="G34" t="s">
        <v>444</v>
      </c>
      <c r="H34" t="s">
        <v>445</v>
      </c>
      <c r="I34" t="s">
        <v>67</v>
      </c>
      <c r="J34" t="s">
        <v>43</v>
      </c>
      <c r="K34" t="s">
        <v>446</v>
      </c>
      <c r="L34" t="s">
        <v>101</v>
      </c>
      <c r="M34" t="s">
        <v>381</v>
      </c>
      <c r="N34" t="s">
        <v>47</v>
      </c>
      <c r="O34">
        <v>659714</v>
      </c>
      <c r="P34" t="s">
        <v>48</v>
      </c>
      <c r="Q34" t="s">
        <v>49</v>
      </c>
      <c r="R34" t="s">
        <v>71</v>
      </c>
      <c r="S34">
        <v>4</v>
      </c>
      <c r="T34" t="s">
        <v>72</v>
      </c>
      <c r="U34" s="17">
        <v>2</v>
      </c>
      <c r="V34" t="s">
        <v>447</v>
      </c>
      <c r="W34" s="17">
        <v>2</v>
      </c>
      <c r="Y34" s="17">
        <v>2</v>
      </c>
      <c r="AA34" s="17">
        <v>1</v>
      </c>
      <c r="AB34" s="8" t="s">
        <v>448</v>
      </c>
      <c r="AC34" s="17">
        <v>2</v>
      </c>
      <c r="AE34" s="17">
        <v>2</v>
      </c>
      <c r="AG34" s="17">
        <v>2</v>
      </c>
      <c r="AH34" s="8" t="s">
        <v>449</v>
      </c>
      <c r="AI34" s="17">
        <v>0</v>
      </c>
      <c r="AK34" s="17">
        <v>2</v>
      </c>
      <c r="AL34" t="s">
        <v>450</v>
      </c>
      <c r="AM34" s="17">
        <v>2</v>
      </c>
      <c r="AO34" s="17">
        <v>2</v>
      </c>
      <c r="AQ34" s="17">
        <v>2</v>
      </c>
      <c r="AS34" s="17">
        <v>2</v>
      </c>
      <c r="AU34" s="17">
        <v>2</v>
      </c>
      <c r="AW34" s="1">
        <f t="shared" si="1"/>
        <v>25</v>
      </c>
    </row>
    <row r="35" spans="1:49" ht="36.75" customHeight="1" x14ac:dyDescent="0.25">
      <c r="A35" t="s">
        <v>36</v>
      </c>
      <c r="B35" t="s">
        <v>451</v>
      </c>
      <c r="C35" t="s">
        <v>452</v>
      </c>
      <c r="D35" t="s">
        <v>452</v>
      </c>
      <c r="E35" t="b">
        <v>0</v>
      </c>
      <c r="F35">
        <v>6951508</v>
      </c>
      <c r="G35" t="s">
        <v>453</v>
      </c>
      <c r="H35" t="s">
        <v>454</v>
      </c>
      <c r="I35" t="s">
        <v>67</v>
      </c>
      <c r="J35" t="s">
        <v>43</v>
      </c>
      <c r="K35" t="s">
        <v>455</v>
      </c>
      <c r="L35" t="s">
        <v>456</v>
      </c>
      <c r="M35" t="s">
        <v>102</v>
      </c>
      <c r="N35" t="s">
        <v>47</v>
      </c>
      <c r="O35">
        <v>5180335</v>
      </c>
      <c r="P35" t="s">
        <v>48</v>
      </c>
      <c r="Q35" t="s">
        <v>49</v>
      </c>
      <c r="R35" t="s">
        <v>71</v>
      </c>
      <c r="S35">
        <v>4</v>
      </c>
      <c r="T35" t="s">
        <v>72</v>
      </c>
      <c r="U35" s="17">
        <v>2</v>
      </c>
      <c r="V35" s="8" t="s">
        <v>457</v>
      </c>
      <c r="W35" s="17">
        <v>2</v>
      </c>
      <c r="X35" t="s">
        <v>219</v>
      </c>
      <c r="Y35" s="17">
        <v>2</v>
      </c>
      <c r="AA35" s="17">
        <v>0</v>
      </c>
      <c r="AC35" s="17">
        <v>2</v>
      </c>
      <c r="AD35" t="s">
        <v>219</v>
      </c>
      <c r="AE35" s="17">
        <v>2</v>
      </c>
      <c r="AF35" t="s">
        <v>219</v>
      </c>
      <c r="AG35" s="17">
        <v>2</v>
      </c>
      <c r="AH35" s="8" t="s">
        <v>458</v>
      </c>
      <c r="AI35" s="17">
        <v>2</v>
      </c>
      <c r="AJ35" s="8" t="s">
        <v>459</v>
      </c>
      <c r="AK35" s="17">
        <v>2</v>
      </c>
      <c r="AL35" s="8" t="s">
        <v>460</v>
      </c>
      <c r="AM35" s="17">
        <v>2</v>
      </c>
      <c r="AO35" s="17">
        <v>2</v>
      </c>
      <c r="AQ35" s="17">
        <v>2</v>
      </c>
      <c r="AS35" s="17">
        <v>2</v>
      </c>
      <c r="AU35" s="17">
        <v>2</v>
      </c>
      <c r="AW35" s="1">
        <f t="shared" si="1"/>
        <v>26</v>
      </c>
    </row>
    <row r="36" spans="1:49" ht="24.95" customHeight="1" x14ac:dyDescent="0.25">
      <c r="A36" t="s">
        <v>36</v>
      </c>
      <c r="B36" t="s">
        <v>461</v>
      </c>
      <c r="C36" t="s">
        <v>462</v>
      </c>
      <c r="D36" t="s">
        <v>462</v>
      </c>
      <c r="E36" t="b">
        <v>0</v>
      </c>
      <c r="F36">
        <v>109527</v>
      </c>
      <c r="G36" t="s">
        <v>463</v>
      </c>
      <c r="H36" t="s">
        <v>464</v>
      </c>
      <c r="I36" t="s">
        <v>42</v>
      </c>
      <c r="J36" t="s">
        <v>43</v>
      </c>
      <c r="K36" t="s">
        <v>465</v>
      </c>
      <c r="L36" t="s">
        <v>466</v>
      </c>
      <c r="M36" t="s">
        <v>156</v>
      </c>
      <c r="N36" t="s">
        <v>47</v>
      </c>
      <c r="O36">
        <v>109527</v>
      </c>
      <c r="P36" t="s">
        <v>48</v>
      </c>
      <c r="Q36" t="s">
        <v>49</v>
      </c>
      <c r="R36" t="s">
        <v>71</v>
      </c>
      <c r="S36">
        <v>3</v>
      </c>
      <c r="T36" t="s">
        <v>72</v>
      </c>
      <c r="U36" s="17">
        <v>2</v>
      </c>
      <c r="V36" s="8" t="s">
        <v>467</v>
      </c>
      <c r="W36" s="17">
        <v>2</v>
      </c>
      <c r="X36" t="s">
        <v>219</v>
      </c>
      <c r="Y36" s="17">
        <v>2</v>
      </c>
      <c r="AA36" s="17">
        <v>0</v>
      </c>
      <c r="AB36" s="8"/>
      <c r="AC36" s="17">
        <v>2</v>
      </c>
      <c r="AD36" t="s">
        <v>219</v>
      </c>
      <c r="AE36" s="17">
        <v>2</v>
      </c>
      <c r="AF36" t="s">
        <v>219</v>
      </c>
      <c r="AG36" s="17">
        <v>0</v>
      </c>
      <c r="AI36" s="17">
        <v>0</v>
      </c>
      <c r="AK36" s="17">
        <v>0</v>
      </c>
      <c r="AL36" s="8" t="s">
        <v>468</v>
      </c>
      <c r="AM36" s="17">
        <v>2</v>
      </c>
      <c r="AO36" s="17">
        <v>2</v>
      </c>
      <c r="AQ36" s="17">
        <v>2</v>
      </c>
      <c r="AS36" s="17">
        <v>2</v>
      </c>
      <c r="AU36" s="17">
        <v>2</v>
      </c>
      <c r="AW36" s="1">
        <f t="shared" si="1"/>
        <v>20</v>
      </c>
    </row>
    <row r="37" spans="1:49" ht="20.100000000000001" customHeight="1" x14ac:dyDescent="0.25">
      <c r="A37" t="s">
        <v>36</v>
      </c>
      <c r="B37" t="s">
        <v>469</v>
      </c>
      <c r="C37" t="s">
        <v>470</v>
      </c>
      <c r="D37" t="s">
        <v>471</v>
      </c>
      <c r="E37" t="b">
        <v>0</v>
      </c>
      <c r="F37">
        <v>977955</v>
      </c>
      <c r="G37" t="s">
        <v>472</v>
      </c>
      <c r="H37" t="s">
        <v>473</v>
      </c>
      <c r="I37" t="s">
        <v>67</v>
      </c>
      <c r="J37" t="s">
        <v>43</v>
      </c>
      <c r="K37" t="s">
        <v>474</v>
      </c>
      <c r="L37" t="s">
        <v>475</v>
      </c>
      <c r="M37" t="s">
        <v>70</v>
      </c>
      <c r="N37" t="s">
        <v>47</v>
      </c>
      <c r="O37">
        <v>608786</v>
      </c>
      <c r="P37" t="s">
        <v>48</v>
      </c>
      <c r="Q37" t="s">
        <v>49</v>
      </c>
      <c r="R37" t="s">
        <v>71</v>
      </c>
      <c r="S37">
        <v>5</v>
      </c>
      <c r="T37" t="s">
        <v>72</v>
      </c>
      <c r="U37" s="17">
        <v>2</v>
      </c>
      <c r="V37" s="8" t="s">
        <v>476</v>
      </c>
      <c r="W37" s="17">
        <v>2</v>
      </c>
      <c r="X37" t="s">
        <v>219</v>
      </c>
      <c r="Y37" s="17">
        <v>2</v>
      </c>
      <c r="AA37" s="17">
        <v>0</v>
      </c>
      <c r="AB37" s="8"/>
      <c r="AC37" s="17">
        <v>2</v>
      </c>
      <c r="AD37" t="s">
        <v>219</v>
      </c>
      <c r="AE37" s="17">
        <v>2</v>
      </c>
      <c r="AF37" t="s">
        <v>219</v>
      </c>
      <c r="AG37" s="17">
        <v>1</v>
      </c>
      <c r="AH37" s="8" t="s">
        <v>477</v>
      </c>
      <c r="AI37" s="17">
        <v>2</v>
      </c>
      <c r="AJ37" s="8" t="s">
        <v>478</v>
      </c>
      <c r="AK37" s="17">
        <v>2</v>
      </c>
      <c r="AL37" t="s">
        <v>479</v>
      </c>
      <c r="AM37" s="17">
        <v>2</v>
      </c>
      <c r="AO37" s="17">
        <v>2</v>
      </c>
      <c r="AQ37" s="17">
        <v>2</v>
      </c>
      <c r="AS37" s="17">
        <v>2</v>
      </c>
      <c r="AU37" s="17">
        <v>2</v>
      </c>
      <c r="AW37" s="1">
        <f t="shared" si="1"/>
        <v>25</v>
      </c>
    </row>
    <row r="38" spans="1:49" ht="30" customHeight="1" x14ac:dyDescent="0.25">
      <c r="A38" t="s">
        <v>36</v>
      </c>
      <c r="B38" t="s">
        <v>461</v>
      </c>
      <c r="C38" t="s">
        <v>480</v>
      </c>
      <c r="D38" t="s">
        <v>481</v>
      </c>
      <c r="E38" t="b">
        <v>0</v>
      </c>
      <c r="F38">
        <v>248558</v>
      </c>
      <c r="G38" t="s">
        <v>482</v>
      </c>
      <c r="H38" t="s">
        <v>483</v>
      </c>
      <c r="I38" t="s">
        <v>42</v>
      </c>
      <c r="J38" t="s">
        <v>43</v>
      </c>
      <c r="K38" t="s">
        <v>484</v>
      </c>
      <c r="L38" t="s">
        <v>485</v>
      </c>
      <c r="M38" t="s">
        <v>156</v>
      </c>
      <c r="N38" t="s">
        <v>47</v>
      </c>
      <c r="O38">
        <v>171885</v>
      </c>
      <c r="P38" t="s">
        <v>48</v>
      </c>
      <c r="Q38" t="s">
        <v>49</v>
      </c>
      <c r="R38" t="s">
        <v>71</v>
      </c>
      <c r="S38">
        <v>3</v>
      </c>
      <c r="T38" t="s">
        <v>72</v>
      </c>
      <c r="U38" s="17">
        <v>2</v>
      </c>
      <c r="V38" s="8" t="s">
        <v>467</v>
      </c>
      <c r="W38" s="17">
        <v>2</v>
      </c>
      <c r="X38" t="s">
        <v>219</v>
      </c>
      <c r="Y38" s="17">
        <v>2</v>
      </c>
      <c r="AA38" s="17">
        <v>0</v>
      </c>
      <c r="AC38" s="17">
        <v>2</v>
      </c>
      <c r="AD38" t="s">
        <v>219</v>
      </c>
      <c r="AE38" s="17">
        <v>2</v>
      </c>
      <c r="AF38" t="s">
        <v>219</v>
      </c>
      <c r="AG38" s="17">
        <v>1</v>
      </c>
      <c r="AH38" s="8" t="s">
        <v>486</v>
      </c>
      <c r="AI38" s="17">
        <v>0</v>
      </c>
      <c r="AK38" s="17">
        <v>0</v>
      </c>
      <c r="AM38" s="17">
        <v>2</v>
      </c>
      <c r="AO38" s="17">
        <v>2</v>
      </c>
      <c r="AQ38" s="17">
        <v>2</v>
      </c>
      <c r="AS38" s="17">
        <v>2</v>
      </c>
      <c r="AU38" s="17">
        <v>2</v>
      </c>
      <c r="AW38" s="1">
        <f t="shared" si="1"/>
        <v>21</v>
      </c>
    </row>
    <row r="39" spans="1:49" ht="15" customHeight="1" x14ac:dyDescent="0.25">
      <c r="A39" t="s">
        <v>36</v>
      </c>
      <c r="B39" t="s">
        <v>487</v>
      </c>
      <c r="C39" t="s">
        <v>488</v>
      </c>
      <c r="D39" t="s">
        <v>489</v>
      </c>
      <c r="E39" t="b">
        <v>0</v>
      </c>
      <c r="F39">
        <v>230</v>
      </c>
      <c r="G39" t="s">
        <v>490</v>
      </c>
      <c r="H39" t="s">
        <v>491</v>
      </c>
      <c r="I39" t="s">
        <v>42</v>
      </c>
      <c r="J39" t="s">
        <v>43</v>
      </c>
      <c r="K39" t="s">
        <v>492</v>
      </c>
      <c r="L39" t="s">
        <v>493</v>
      </c>
      <c r="M39" t="s">
        <v>156</v>
      </c>
      <c r="N39" t="s">
        <v>47</v>
      </c>
      <c r="O39">
        <v>12</v>
      </c>
      <c r="P39" t="s">
        <v>48</v>
      </c>
      <c r="Q39" t="s">
        <v>49</v>
      </c>
      <c r="R39" t="s">
        <v>50</v>
      </c>
      <c r="S39" t="s">
        <v>51</v>
      </c>
      <c r="T39" t="s">
        <v>52</v>
      </c>
      <c r="U39">
        <v>0</v>
      </c>
      <c r="W39">
        <v>0</v>
      </c>
      <c r="Y39">
        <v>2</v>
      </c>
      <c r="Z39" t="s">
        <v>438</v>
      </c>
      <c r="AA39">
        <v>1</v>
      </c>
      <c r="AB39" s="8" t="s">
        <v>494</v>
      </c>
      <c r="AC39">
        <v>0</v>
      </c>
      <c r="AE39">
        <v>2</v>
      </c>
      <c r="AF39" t="s">
        <v>438</v>
      </c>
      <c r="AG39">
        <v>0</v>
      </c>
      <c r="AI39">
        <v>0</v>
      </c>
      <c r="AK39">
        <v>2</v>
      </c>
      <c r="AL39" s="8" t="s">
        <v>495</v>
      </c>
      <c r="AM39">
        <v>2</v>
      </c>
      <c r="AN39" t="s">
        <v>438</v>
      </c>
      <c r="AO39">
        <v>2</v>
      </c>
      <c r="AP39" t="s">
        <v>438</v>
      </c>
      <c r="AQ39">
        <v>2</v>
      </c>
      <c r="AR39" t="s">
        <v>438</v>
      </c>
      <c r="AS39">
        <v>0</v>
      </c>
      <c r="AU39">
        <v>2</v>
      </c>
      <c r="AV39" t="s">
        <v>438</v>
      </c>
      <c r="AW39" s="1">
        <f t="shared" si="1"/>
        <v>15</v>
      </c>
    </row>
    <row r="40" spans="1:49" ht="14.25" customHeight="1" x14ac:dyDescent="0.25">
      <c r="A40" t="s">
        <v>36</v>
      </c>
      <c r="B40" t="s">
        <v>95</v>
      </c>
      <c r="C40" t="s">
        <v>496</v>
      </c>
      <c r="D40" t="s">
        <v>496</v>
      </c>
      <c r="E40" t="b">
        <v>0</v>
      </c>
      <c r="F40">
        <v>2692244</v>
      </c>
      <c r="G40" t="s">
        <v>497</v>
      </c>
      <c r="H40" t="s">
        <v>498</v>
      </c>
      <c r="I40" t="s">
        <v>67</v>
      </c>
      <c r="J40" t="s">
        <v>43</v>
      </c>
      <c r="K40" t="s">
        <v>499</v>
      </c>
      <c r="L40" t="s">
        <v>500</v>
      </c>
      <c r="M40" t="s">
        <v>102</v>
      </c>
      <c r="N40" t="s">
        <v>47</v>
      </c>
      <c r="O40">
        <v>1513044</v>
      </c>
      <c r="P40" t="s">
        <v>48</v>
      </c>
      <c r="Q40" t="s">
        <v>49</v>
      </c>
      <c r="R40" t="s">
        <v>71</v>
      </c>
      <c r="S40">
        <v>1</v>
      </c>
      <c r="T40" t="s">
        <v>103</v>
      </c>
      <c r="U40">
        <v>1</v>
      </c>
      <c r="V40" t="s">
        <v>501</v>
      </c>
      <c r="W40">
        <v>2</v>
      </c>
      <c r="X40" s="8" t="s">
        <v>502</v>
      </c>
      <c r="Y40">
        <v>2</v>
      </c>
      <c r="Z40" s="8" t="s">
        <v>503</v>
      </c>
      <c r="AA40">
        <v>1</v>
      </c>
      <c r="AB40" t="s">
        <v>504</v>
      </c>
      <c r="AC40">
        <v>2</v>
      </c>
      <c r="AD40" t="s">
        <v>505</v>
      </c>
      <c r="AE40">
        <v>2</v>
      </c>
      <c r="AF40" s="8" t="s">
        <v>506</v>
      </c>
      <c r="AG40">
        <v>2</v>
      </c>
      <c r="AH40" s="8" t="s">
        <v>507</v>
      </c>
      <c r="AI40">
        <v>2</v>
      </c>
      <c r="AJ40" t="s">
        <v>508</v>
      </c>
      <c r="AK40">
        <v>0</v>
      </c>
      <c r="AM40">
        <v>2</v>
      </c>
      <c r="AN40" t="s">
        <v>441</v>
      </c>
      <c r="AO40">
        <v>2</v>
      </c>
      <c r="AQ40">
        <v>2</v>
      </c>
      <c r="AS40">
        <v>2</v>
      </c>
      <c r="AT40" s="8" t="s">
        <v>509</v>
      </c>
      <c r="AU40">
        <v>2</v>
      </c>
      <c r="AW40" s="1">
        <f t="shared" si="1"/>
        <v>24</v>
      </c>
    </row>
    <row r="41" spans="1:49" ht="27" customHeight="1" x14ac:dyDescent="0.25">
      <c r="A41" t="s">
        <v>36</v>
      </c>
      <c r="B41" t="s">
        <v>62</v>
      </c>
      <c r="C41" t="s">
        <v>510</v>
      </c>
      <c r="D41" t="s">
        <v>510</v>
      </c>
      <c r="E41" t="b">
        <v>0</v>
      </c>
      <c r="F41">
        <v>36612042</v>
      </c>
      <c r="G41" t="s">
        <v>511</v>
      </c>
      <c r="H41" t="s">
        <v>512</v>
      </c>
      <c r="I41" t="s">
        <v>67</v>
      </c>
      <c r="J41" t="s">
        <v>43</v>
      </c>
      <c r="K41" t="s">
        <v>513</v>
      </c>
      <c r="L41" t="s">
        <v>514</v>
      </c>
      <c r="M41" t="s">
        <v>70</v>
      </c>
      <c r="N41" t="s">
        <v>47</v>
      </c>
      <c r="O41">
        <v>15775221</v>
      </c>
      <c r="P41" t="s">
        <v>48</v>
      </c>
      <c r="Q41" t="s">
        <v>49</v>
      </c>
      <c r="R41" t="s">
        <v>71</v>
      </c>
      <c r="S41">
        <v>3</v>
      </c>
      <c r="T41" t="s">
        <v>72</v>
      </c>
      <c r="U41" s="17">
        <v>2</v>
      </c>
      <c r="V41" s="8" t="s">
        <v>515</v>
      </c>
      <c r="W41" s="17">
        <v>2</v>
      </c>
      <c r="X41" t="s">
        <v>301</v>
      </c>
      <c r="Y41" s="17">
        <v>2</v>
      </c>
      <c r="AA41" s="17">
        <v>2</v>
      </c>
      <c r="AB41" s="8" t="s">
        <v>516</v>
      </c>
      <c r="AC41" s="17">
        <v>1</v>
      </c>
      <c r="AD41" t="s">
        <v>517</v>
      </c>
      <c r="AE41" s="17">
        <v>2</v>
      </c>
      <c r="AF41" s="8" t="s">
        <v>518</v>
      </c>
      <c r="AG41" s="17">
        <v>2</v>
      </c>
      <c r="AH41" s="8" t="s">
        <v>519</v>
      </c>
      <c r="AI41" s="17">
        <v>2</v>
      </c>
      <c r="AJ41" s="8" t="s">
        <v>520</v>
      </c>
      <c r="AK41" s="17">
        <v>2</v>
      </c>
      <c r="AL41" s="8" t="s">
        <v>521</v>
      </c>
      <c r="AM41" s="17">
        <v>2</v>
      </c>
      <c r="AO41" s="17">
        <v>2</v>
      </c>
      <c r="AQ41" s="17">
        <v>2</v>
      </c>
      <c r="AS41" s="17">
        <v>2</v>
      </c>
      <c r="AU41" s="17">
        <v>2</v>
      </c>
      <c r="AW41" s="1">
        <f t="shared" si="1"/>
        <v>27</v>
      </c>
    </row>
    <row r="42" spans="1:49" x14ac:dyDescent="0.25">
      <c r="A42" t="s">
        <v>36</v>
      </c>
      <c r="B42" t="s">
        <v>253</v>
      </c>
      <c r="C42" t="s">
        <v>522</v>
      </c>
      <c r="D42" t="s">
        <v>522</v>
      </c>
      <c r="E42" t="b">
        <v>0</v>
      </c>
      <c r="F42">
        <v>299772</v>
      </c>
      <c r="G42" t="s">
        <v>523</v>
      </c>
      <c r="H42" t="s">
        <v>524</v>
      </c>
      <c r="I42" t="s">
        <v>42</v>
      </c>
      <c r="J42" t="s">
        <v>43</v>
      </c>
      <c r="K42" t="s">
        <v>525</v>
      </c>
      <c r="L42" t="s">
        <v>217</v>
      </c>
      <c r="M42" t="s">
        <v>299</v>
      </c>
      <c r="N42" t="s">
        <v>47</v>
      </c>
      <c r="O42">
        <v>295772</v>
      </c>
      <c r="P42" t="s">
        <v>48</v>
      </c>
      <c r="Q42" t="s">
        <v>49</v>
      </c>
      <c r="R42" t="s">
        <v>50</v>
      </c>
      <c r="S42">
        <v>5</v>
      </c>
      <c r="T42" t="s">
        <v>72</v>
      </c>
      <c r="U42" s="14">
        <v>1</v>
      </c>
      <c r="V42" t="s">
        <v>300</v>
      </c>
      <c r="W42" s="14">
        <v>2</v>
      </c>
      <c r="X42" t="s">
        <v>301</v>
      </c>
      <c r="Y42" s="17">
        <v>2</v>
      </c>
      <c r="AA42" s="14">
        <v>1</v>
      </c>
      <c r="AB42" t="s">
        <v>302</v>
      </c>
      <c r="AC42" s="17">
        <v>1</v>
      </c>
      <c r="AD42" t="s">
        <v>303</v>
      </c>
      <c r="AE42" s="17">
        <v>0</v>
      </c>
      <c r="AG42" s="14">
        <v>0</v>
      </c>
      <c r="AI42" s="14">
        <v>0</v>
      </c>
      <c r="AK42" s="14">
        <v>2</v>
      </c>
      <c r="AL42" t="s">
        <v>304</v>
      </c>
      <c r="AM42" s="17">
        <v>2</v>
      </c>
      <c r="AO42" s="17">
        <v>2</v>
      </c>
      <c r="AQ42" s="17">
        <v>2</v>
      </c>
      <c r="AS42" s="17">
        <v>2</v>
      </c>
      <c r="AU42" s="17">
        <v>2</v>
      </c>
      <c r="AW42" s="1">
        <f>SUM(U42:AU42)</f>
        <v>19</v>
      </c>
    </row>
    <row r="43" spans="1:49" ht="20.100000000000001" customHeight="1" x14ac:dyDescent="0.25">
      <c r="A43" t="s">
        <v>36</v>
      </c>
      <c r="B43" t="s">
        <v>95</v>
      </c>
      <c r="C43" t="s">
        <v>526</v>
      </c>
      <c r="D43" t="s">
        <v>526</v>
      </c>
      <c r="E43" t="b">
        <v>0</v>
      </c>
      <c r="F43">
        <v>1407657</v>
      </c>
      <c r="G43" t="s">
        <v>527</v>
      </c>
      <c r="H43" t="s">
        <v>528</v>
      </c>
      <c r="I43" t="s">
        <v>67</v>
      </c>
      <c r="J43" t="s">
        <v>43</v>
      </c>
      <c r="K43" t="s">
        <v>529</v>
      </c>
      <c r="L43" t="s">
        <v>101</v>
      </c>
      <c r="M43" t="s">
        <v>70</v>
      </c>
      <c r="N43" t="s">
        <v>47</v>
      </c>
      <c r="O43">
        <v>618462</v>
      </c>
      <c r="P43" t="s">
        <v>48</v>
      </c>
      <c r="Q43" t="s">
        <v>49</v>
      </c>
      <c r="R43" t="s">
        <v>71</v>
      </c>
      <c r="S43">
        <v>3</v>
      </c>
      <c r="T43" t="s">
        <v>72</v>
      </c>
      <c r="U43" s="14">
        <v>2</v>
      </c>
      <c r="V43" s="8" t="s">
        <v>530</v>
      </c>
      <c r="W43" s="14">
        <v>2</v>
      </c>
      <c r="X43" t="s">
        <v>301</v>
      </c>
      <c r="Y43" s="17">
        <v>2</v>
      </c>
      <c r="AA43">
        <v>0</v>
      </c>
      <c r="AC43" s="17">
        <v>0</v>
      </c>
      <c r="AE43" s="17">
        <v>2</v>
      </c>
      <c r="AF43" s="8" t="s">
        <v>531</v>
      </c>
      <c r="AG43">
        <v>0</v>
      </c>
      <c r="AI43">
        <v>0</v>
      </c>
      <c r="AK43" s="14">
        <v>2</v>
      </c>
      <c r="AL43" t="s">
        <v>532</v>
      </c>
      <c r="AM43" s="17">
        <v>2</v>
      </c>
      <c r="AO43" s="17">
        <v>2</v>
      </c>
      <c r="AQ43" s="17">
        <v>2</v>
      </c>
      <c r="AS43" s="17">
        <v>2</v>
      </c>
      <c r="AU43" s="17">
        <v>2</v>
      </c>
      <c r="AW43" s="1">
        <f t="shared" si="1"/>
        <v>20</v>
      </c>
    </row>
    <row r="44" spans="1:49" ht="12.95" customHeight="1" x14ac:dyDescent="0.25">
      <c r="A44" t="s">
        <v>36</v>
      </c>
      <c r="B44" t="s">
        <v>533</v>
      </c>
      <c r="C44" t="s">
        <v>534</v>
      </c>
      <c r="D44" t="s">
        <v>534</v>
      </c>
      <c r="E44" t="b">
        <v>0</v>
      </c>
      <c r="F44">
        <v>10595345</v>
      </c>
      <c r="G44" t="s">
        <v>535</v>
      </c>
      <c r="H44" t="s">
        <v>536</v>
      </c>
      <c r="I44" t="s">
        <v>67</v>
      </c>
      <c r="J44" t="s">
        <v>43</v>
      </c>
      <c r="K44" t="s">
        <v>537</v>
      </c>
      <c r="L44" t="s">
        <v>538</v>
      </c>
      <c r="M44" t="s">
        <v>102</v>
      </c>
      <c r="N44" t="s">
        <v>47</v>
      </c>
      <c r="O44">
        <v>8092879</v>
      </c>
      <c r="P44" t="s">
        <v>48</v>
      </c>
      <c r="Q44" t="s">
        <v>49</v>
      </c>
      <c r="R44" t="s">
        <v>71</v>
      </c>
      <c r="S44">
        <v>4</v>
      </c>
      <c r="T44" t="s">
        <v>72</v>
      </c>
      <c r="U44" s="14">
        <v>2</v>
      </c>
      <c r="V44" s="8" t="s">
        <v>539</v>
      </c>
      <c r="W44" s="14">
        <v>2</v>
      </c>
      <c r="X44" t="s">
        <v>219</v>
      </c>
      <c r="Y44" s="17">
        <v>2</v>
      </c>
      <c r="AA44" s="14">
        <v>2</v>
      </c>
      <c r="AB44" s="8" t="s">
        <v>540</v>
      </c>
      <c r="AC44" s="17">
        <v>2</v>
      </c>
      <c r="AD44" t="s">
        <v>219</v>
      </c>
      <c r="AE44" s="17">
        <v>2</v>
      </c>
      <c r="AF44" t="s">
        <v>219</v>
      </c>
      <c r="AG44" s="14">
        <v>2</v>
      </c>
      <c r="AH44" t="s">
        <v>541</v>
      </c>
      <c r="AI44" s="14">
        <v>1</v>
      </c>
      <c r="AJ44" s="8" t="s">
        <v>542</v>
      </c>
      <c r="AK44" s="14">
        <v>2</v>
      </c>
      <c r="AL44" s="8" t="s">
        <v>543</v>
      </c>
      <c r="AM44" s="17">
        <v>2</v>
      </c>
      <c r="AO44" s="17">
        <v>2</v>
      </c>
      <c r="AQ44" s="17">
        <v>2</v>
      </c>
      <c r="AS44" s="17">
        <v>2</v>
      </c>
      <c r="AU44" s="17">
        <v>2</v>
      </c>
      <c r="AW44" s="1">
        <f t="shared" si="1"/>
        <v>27</v>
      </c>
    </row>
    <row r="45" spans="1:49" ht="26.1" customHeight="1" x14ac:dyDescent="0.25">
      <c r="A45" t="s">
        <v>36</v>
      </c>
      <c r="B45" t="s">
        <v>149</v>
      </c>
      <c r="C45" t="s">
        <v>544</v>
      </c>
      <c r="D45" t="s">
        <v>545</v>
      </c>
      <c r="E45" t="b">
        <v>0</v>
      </c>
      <c r="F45">
        <v>527869</v>
      </c>
      <c r="G45" t="s">
        <v>546</v>
      </c>
      <c r="H45" t="s">
        <v>547</v>
      </c>
      <c r="I45" t="s">
        <v>42</v>
      </c>
      <c r="J45" t="s">
        <v>43</v>
      </c>
      <c r="K45" t="s">
        <v>548</v>
      </c>
      <c r="L45" t="s">
        <v>549</v>
      </c>
      <c r="M45" t="s">
        <v>156</v>
      </c>
      <c r="N45" t="s">
        <v>47</v>
      </c>
      <c r="O45">
        <v>277552</v>
      </c>
      <c r="P45" t="s">
        <v>48</v>
      </c>
      <c r="Q45" t="s">
        <v>49</v>
      </c>
      <c r="R45" t="s">
        <v>71</v>
      </c>
      <c r="S45" t="s">
        <v>51</v>
      </c>
      <c r="T45" t="s">
        <v>52</v>
      </c>
      <c r="U45">
        <v>2</v>
      </c>
      <c r="V45" s="8" t="s">
        <v>550</v>
      </c>
      <c r="W45">
        <v>2</v>
      </c>
      <c r="X45" s="8" t="s">
        <v>551</v>
      </c>
      <c r="Y45">
        <v>1</v>
      </c>
      <c r="Z45" s="8" t="s">
        <v>552</v>
      </c>
      <c r="AA45">
        <v>1</v>
      </c>
      <c r="AB45" t="s">
        <v>553</v>
      </c>
      <c r="AC45">
        <v>1</v>
      </c>
      <c r="AD45" s="8" t="s">
        <v>554</v>
      </c>
      <c r="AE45" s="17">
        <v>2</v>
      </c>
      <c r="AF45" s="18" t="s">
        <v>555</v>
      </c>
      <c r="AG45">
        <v>0</v>
      </c>
      <c r="AI45">
        <v>2</v>
      </c>
      <c r="AJ45" s="8" t="s">
        <v>556</v>
      </c>
      <c r="AK45" s="14">
        <v>2</v>
      </c>
      <c r="AL45" s="8" t="s">
        <v>557</v>
      </c>
      <c r="AM45">
        <v>0</v>
      </c>
      <c r="AN45" t="s">
        <v>438</v>
      </c>
      <c r="AO45">
        <v>2</v>
      </c>
      <c r="AP45" t="s">
        <v>438</v>
      </c>
      <c r="AQ45">
        <v>2</v>
      </c>
      <c r="AR45" t="s">
        <v>438</v>
      </c>
      <c r="AS45" s="17">
        <v>0</v>
      </c>
      <c r="AU45">
        <v>2</v>
      </c>
      <c r="AV45" t="s">
        <v>438</v>
      </c>
      <c r="AW45" s="1">
        <f t="shared" si="1"/>
        <v>19</v>
      </c>
    </row>
    <row r="46" spans="1:49" ht="14.25" customHeight="1" x14ac:dyDescent="0.25">
      <c r="A46" t="s">
        <v>36</v>
      </c>
      <c r="B46" t="s">
        <v>223</v>
      </c>
      <c r="C46" t="s">
        <v>558</v>
      </c>
      <c r="D46" t="s">
        <v>558</v>
      </c>
      <c r="E46" t="b">
        <v>0</v>
      </c>
      <c r="F46">
        <v>8335912</v>
      </c>
      <c r="G46" t="s">
        <v>559</v>
      </c>
      <c r="H46" t="s">
        <v>560</v>
      </c>
      <c r="I46" t="s">
        <v>42</v>
      </c>
      <c r="J46" t="s">
        <v>43</v>
      </c>
      <c r="K46" t="s">
        <v>561</v>
      </c>
      <c r="L46" t="s">
        <v>562</v>
      </c>
      <c r="M46" t="s">
        <v>89</v>
      </c>
      <c r="N46" t="s">
        <v>47</v>
      </c>
      <c r="O46">
        <v>5501737</v>
      </c>
      <c r="P46" t="s">
        <v>48</v>
      </c>
      <c r="Q46" t="s">
        <v>49</v>
      </c>
      <c r="R46" t="s">
        <v>71</v>
      </c>
      <c r="S46">
        <v>3</v>
      </c>
      <c r="T46" t="s">
        <v>72</v>
      </c>
      <c r="U46" s="14">
        <v>1</v>
      </c>
      <c r="V46" s="8" t="s">
        <v>563</v>
      </c>
      <c r="W46" s="14">
        <v>2</v>
      </c>
      <c r="X46" t="s">
        <v>219</v>
      </c>
      <c r="Y46" s="17">
        <v>2</v>
      </c>
      <c r="AA46" s="14">
        <v>1</v>
      </c>
      <c r="AB46" s="8" t="s">
        <v>564</v>
      </c>
      <c r="AC46" s="14">
        <v>2</v>
      </c>
      <c r="AD46" t="s">
        <v>219</v>
      </c>
      <c r="AE46" s="14">
        <v>2</v>
      </c>
      <c r="AF46" s="19" t="s">
        <v>565</v>
      </c>
      <c r="AG46" s="14">
        <v>0</v>
      </c>
      <c r="AI46" s="14">
        <v>0</v>
      </c>
      <c r="AK46">
        <v>0</v>
      </c>
      <c r="AM46" s="17">
        <v>2</v>
      </c>
      <c r="AO46" s="17">
        <v>2</v>
      </c>
      <c r="AQ46" s="17">
        <v>2</v>
      </c>
      <c r="AS46" s="17">
        <v>2</v>
      </c>
      <c r="AU46" s="17">
        <v>2</v>
      </c>
      <c r="AW46" s="1">
        <f t="shared" si="1"/>
        <v>20</v>
      </c>
    </row>
    <row r="47" spans="1:49" ht="19.5" customHeight="1" x14ac:dyDescent="0.25">
      <c r="A47" t="s">
        <v>36</v>
      </c>
      <c r="B47" t="s">
        <v>149</v>
      </c>
      <c r="C47" t="s">
        <v>566</v>
      </c>
      <c r="D47" t="s">
        <v>566</v>
      </c>
      <c r="E47" t="b">
        <v>0</v>
      </c>
      <c r="F47">
        <v>73093</v>
      </c>
      <c r="G47" t="s">
        <v>567</v>
      </c>
      <c r="H47" t="s">
        <v>568</v>
      </c>
      <c r="I47" t="s">
        <v>42</v>
      </c>
      <c r="J47" t="s">
        <v>43</v>
      </c>
      <c r="K47" t="s">
        <v>569</v>
      </c>
      <c r="L47" t="s">
        <v>570</v>
      </c>
      <c r="M47" t="s">
        <v>156</v>
      </c>
      <c r="N47" t="s">
        <v>47</v>
      </c>
      <c r="O47">
        <v>73093</v>
      </c>
      <c r="P47" t="s">
        <v>48</v>
      </c>
      <c r="Q47" t="s">
        <v>49</v>
      </c>
      <c r="R47" t="s">
        <v>71</v>
      </c>
      <c r="S47" t="s">
        <v>51</v>
      </c>
      <c r="T47" t="s">
        <v>52</v>
      </c>
      <c r="U47">
        <v>1</v>
      </c>
      <c r="V47" t="s">
        <v>571</v>
      </c>
      <c r="W47">
        <v>2</v>
      </c>
      <c r="X47" s="8" t="s">
        <v>572</v>
      </c>
      <c r="Y47">
        <v>2</v>
      </c>
      <c r="Z47" s="8" t="s">
        <v>573</v>
      </c>
      <c r="AA47">
        <v>1</v>
      </c>
      <c r="AB47" s="8" t="s">
        <v>554</v>
      </c>
      <c r="AC47">
        <v>2</v>
      </c>
      <c r="AD47" s="8" t="s">
        <v>574</v>
      </c>
      <c r="AE47">
        <v>1</v>
      </c>
      <c r="AF47" t="s">
        <v>575</v>
      </c>
      <c r="AG47">
        <v>1</v>
      </c>
      <c r="AH47" t="s">
        <v>576</v>
      </c>
      <c r="AI47">
        <v>2</v>
      </c>
      <c r="AJ47" s="8" t="s">
        <v>577</v>
      </c>
      <c r="AK47" s="14">
        <v>1</v>
      </c>
      <c r="AL47" t="s">
        <v>578</v>
      </c>
      <c r="AM47">
        <v>2</v>
      </c>
      <c r="AN47" t="s">
        <v>438</v>
      </c>
      <c r="AO47">
        <v>2</v>
      </c>
      <c r="AP47" t="s">
        <v>438</v>
      </c>
      <c r="AQ47">
        <v>2</v>
      </c>
      <c r="AR47" t="s">
        <v>438</v>
      </c>
      <c r="AS47">
        <v>2</v>
      </c>
      <c r="AT47" t="s">
        <v>579</v>
      </c>
      <c r="AU47">
        <v>2</v>
      </c>
      <c r="AV47" t="s">
        <v>438</v>
      </c>
      <c r="AW47" s="1">
        <f>SUM(U47:AU47)</f>
        <v>23</v>
      </c>
    </row>
    <row r="48" spans="1:49" ht="17.25" customHeight="1" x14ac:dyDescent="0.25">
      <c r="A48" t="s">
        <v>36</v>
      </c>
      <c r="B48" t="s">
        <v>374</v>
      </c>
      <c r="C48" t="s">
        <v>580</v>
      </c>
      <c r="D48" t="s">
        <v>581</v>
      </c>
      <c r="E48" t="b">
        <v>0</v>
      </c>
      <c r="F48">
        <v>609543</v>
      </c>
      <c r="G48" t="s">
        <v>582</v>
      </c>
      <c r="H48" t="s">
        <v>583</v>
      </c>
      <c r="I48" t="s">
        <v>42</v>
      </c>
      <c r="J48" t="s">
        <v>43</v>
      </c>
      <c r="K48" t="s">
        <v>584</v>
      </c>
      <c r="L48" t="s">
        <v>585</v>
      </c>
      <c r="M48" t="s">
        <v>156</v>
      </c>
      <c r="N48" t="s">
        <v>47</v>
      </c>
      <c r="O48">
        <v>387663</v>
      </c>
      <c r="P48" t="s">
        <v>48</v>
      </c>
      <c r="Q48" t="s">
        <v>49</v>
      </c>
      <c r="R48" t="s">
        <v>71</v>
      </c>
      <c r="S48">
        <v>2</v>
      </c>
      <c r="T48" t="s">
        <v>72</v>
      </c>
      <c r="U48" s="14">
        <v>1</v>
      </c>
      <c r="V48" s="8" t="s">
        <v>586</v>
      </c>
      <c r="W48" s="14">
        <v>2</v>
      </c>
      <c r="X48" t="s">
        <v>219</v>
      </c>
      <c r="Y48" s="17">
        <v>2</v>
      </c>
      <c r="AA48" s="14">
        <v>0</v>
      </c>
      <c r="AC48" s="14">
        <v>2</v>
      </c>
      <c r="AD48" t="s">
        <v>219</v>
      </c>
      <c r="AE48" s="14">
        <v>2</v>
      </c>
      <c r="AF48" s="19" t="s">
        <v>587</v>
      </c>
      <c r="AG48" s="14">
        <v>2</v>
      </c>
      <c r="AH48" s="8" t="s">
        <v>588</v>
      </c>
      <c r="AI48" s="14">
        <v>0</v>
      </c>
      <c r="AK48" s="14">
        <v>0</v>
      </c>
      <c r="AM48" s="17">
        <v>2</v>
      </c>
      <c r="AO48" s="17">
        <v>2</v>
      </c>
      <c r="AQ48" s="17">
        <v>2</v>
      </c>
      <c r="AS48" s="17">
        <v>2</v>
      </c>
      <c r="AU48" s="17">
        <v>2</v>
      </c>
      <c r="AW48" s="1">
        <f t="shared" si="1"/>
        <v>21</v>
      </c>
    </row>
    <row r="49" spans="1:49" ht="16.5" customHeight="1" x14ac:dyDescent="0.25">
      <c r="A49" t="s">
        <v>36</v>
      </c>
      <c r="B49" t="s">
        <v>469</v>
      </c>
      <c r="C49" t="s">
        <v>589</v>
      </c>
      <c r="D49" t="s">
        <v>471</v>
      </c>
      <c r="E49" t="b">
        <v>0</v>
      </c>
      <c r="F49">
        <v>3565155</v>
      </c>
      <c r="G49" t="s">
        <v>590</v>
      </c>
      <c r="H49" t="s">
        <v>591</v>
      </c>
      <c r="I49" t="s">
        <v>67</v>
      </c>
      <c r="J49" t="s">
        <v>43</v>
      </c>
      <c r="K49" t="s">
        <v>592</v>
      </c>
      <c r="L49" t="s">
        <v>475</v>
      </c>
      <c r="M49" t="s">
        <v>70</v>
      </c>
      <c r="N49" t="s">
        <v>47</v>
      </c>
      <c r="O49">
        <v>3105072</v>
      </c>
      <c r="P49" t="s">
        <v>48</v>
      </c>
      <c r="Q49" t="s">
        <v>49</v>
      </c>
      <c r="R49" t="s">
        <v>71</v>
      </c>
      <c r="S49">
        <v>5</v>
      </c>
      <c r="T49" t="s">
        <v>72</v>
      </c>
      <c r="U49" s="14">
        <v>2</v>
      </c>
      <c r="V49" s="8" t="s">
        <v>593</v>
      </c>
      <c r="W49" s="14">
        <v>2</v>
      </c>
      <c r="X49" t="s">
        <v>219</v>
      </c>
      <c r="Y49">
        <v>2</v>
      </c>
      <c r="AA49" s="14">
        <v>0</v>
      </c>
      <c r="AC49" s="14">
        <v>2</v>
      </c>
      <c r="AD49" t="s">
        <v>219</v>
      </c>
      <c r="AE49" s="14">
        <v>2</v>
      </c>
      <c r="AF49" t="s">
        <v>219</v>
      </c>
      <c r="AG49" s="14">
        <v>2</v>
      </c>
      <c r="AH49" s="8" t="s">
        <v>594</v>
      </c>
      <c r="AI49" s="14">
        <v>1</v>
      </c>
      <c r="AJ49" t="s">
        <v>595</v>
      </c>
      <c r="AK49" s="14">
        <v>2</v>
      </c>
      <c r="AL49" s="8" t="s">
        <v>596</v>
      </c>
      <c r="AM49">
        <v>2</v>
      </c>
      <c r="AO49">
        <v>2</v>
      </c>
      <c r="AQ49">
        <v>2</v>
      </c>
      <c r="AS49">
        <v>2</v>
      </c>
      <c r="AU49">
        <v>2</v>
      </c>
      <c r="AW49" s="1">
        <f t="shared" si="1"/>
        <v>25</v>
      </c>
    </row>
    <row r="50" spans="1:49" ht="9.75" customHeight="1" x14ac:dyDescent="0.25">
      <c r="A50" t="s">
        <v>36</v>
      </c>
      <c r="B50" t="s">
        <v>461</v>
      </c>
      <c r="C50" t="s">
        <v>597</v>
      </c>
      <c r="D50" t="s">
        <v>597</v>
      </c>
      <c r="E50" t="b">
        <v>0</v>
      </c>
      <c r="F50">
        <v>182466</v>
      </c>
      <c r="G50" t="s">
        <v>598</v>
      </c>
      <c r="H50" t="s">
        <v>599</v>
      </c>
      <c r="I50" t="s">
        <v>42</v>
      </c>
      <c r="J50" t="s">
        <v>43</v>
      </c>
      <c r="K50" t="s">
        <v>600</v>
      </c>
      <c r="L50" t="s">
        <v>601</v>
      </c>
      <c r="M50" t="s">
        <v>156</v>
      </c>
      <c r="N50" t="s">
        <v>47</v>
      </c>
      <c r="O50">
        <v>182466</v>
      </c>
      <c r="P50" t="s">
        <v>48</v>
      </c>
      <c r="Q50" t="s">
        <v>49</v>
      </c>
      <c r="R50" t="s">
        <v>71</v>
      </c>
      <c r="S50">
        <v>3</v>
      </c>
      <c r="T50" t="s">
        <v>72</v>
      </c>
      <c r="U50" s="14">
        <v>2</v>
      </c>
      <c r="V50" s="8" t="s">
        <v>602</v>
      </c>
      <c r="W50" s="14">
        <v>2</v>
      </c>
      <c r="X50" t="s">
        <v>219</v>
      </c>
      <c r="Y50" s="17">
        <v>2</v>
      </c>
      <c r="AA50" s="14">
        <v>0</v>
      </c>
      <c r="AC50" s="14">
        <v>2</v>
      </c>
      <c r="AD50" t="s">
        <v>219</v>
      </c>
      <c r="AE50" s="14">
        <v>2</v>
      </c>
      <c r="AF50" t="s">
        <v>219</v>
      </c>
      <c r="AG50" s="14">
        <v>0</v>
      </c>
      <c r="AI50" s="14">
        <v>0</v>
      </c>
      <c r="AK50" s="14">
        <v>0</v>
      </c>
      <c r="AM50" s="17">
        <v>2</v>
      </c>
      <c r="AO50" s="17">
        <v>2</v>
      </c>
      <c r="AQ50" s="17">
        <v>2</v>
      </c>
      <c r="AS50" s="17">
        <v>2</v>
      </c>
      <c r="AU50" s="17">
        <v>2</v>
      </c>
      <c r="AW50" s="1">
        <f t="shared" si="1"/>
        <v>20</v>
      </c>
    </row>
    <row r="51" spans="1:49" ht="15" customHeight="1" x14ac:dyDescent="0.25">
      <c r="A51" t="s">
        <v>36</v>
      </c>
      <c r="B51" t="s">
        <v>62</v>
      </c>
      <c r="C51" t="s">
        <v>603</v>
      </c>
      <c r="D51" t="s">
        <v>603</v>
      </c>
      <c r="E51" t="b">
        <v>0</v>
      </c>
      <c r="F51">
        <v>19058921</v>
      </c>
      <c r="G51" t="s">
        <v>604</v>
      </c>
      <c r="H51" t="s">
        <v>605</v>
      </c>
      <c r="I51" t="s">
        <v>67</v>
      </c>
      <c r="J51" t="s">
        <v>43</v>
      </c>
      <c r="K51" t="s">
        <v>606</v>
      </c>
      <c r="L51" t="s">
        <v>607</v>
      </c>
      <c r="M51" t="s">
        <v>70</v>
      </c>
      <c r="N51" t="s">
        <v>47</v>
      </c>
      <c r="O51">
        <v>8071919</v>
      </c>
      <c r="P51" t="s">
        <v>48</v>
      </c>
      <c r="Q51" t="s">
        <v>49</v>
      </c>
      <c r="R51" t="s">
        <v>71</v>
      </c>
      <c r="S51" t="s">
        <v>51</v>
      </c>
      <c r="T51" t="s">
        <v>52</v>
      </c>
      <c r="U51">
        <v>1</v>
      </c>
      <c r="V51" t="s">
        <v>608</v>
      </c>
      <c r="W51">
        <v>2</v>
      </c>
      <c r="X51" s="8" t="s">
        <v>609</v>
      </c>
      <c r="Y51">
        <v>2</v>
      </c>
      <c r="Z51" s="8" t="s">
        <v>610</v>
      </c>
      <c r="AA51">
        <v>1</v>
      </c>
      <c r="AB51" t="s">
        <v>611</v>
      </c>
      <c r="AC51">
        <v>1</v>
      </c>
      <c r="AD51" s="8" t="s">
        <v>612</v>
      </c>
      <c r="AE51">
        <v>1</v>
      </c>
      <c r="AF51" s="8" t="s">
        <v>613</v>
      </c>
      <c r="AG51">
        <v>0</v>
      </c>
      <c r="AI51">
        <v>0</v>
      </c>
      <c r="AK51">
        <v>0</v>
      </c>
      <c r="AM51">
        <v>2</v>
      </c>
      <c r="AN51" s="8" t="s">
        <v>614</v>
      </c>
      <c r="AO51">
        <v>2</v>
      </c>
      <c r="AP51" t="s">
        <v>219</v>
      </c>
      <c r="AQ51">
        <v>2</v>
      </c>
      <c r="AR51" t="s">
        <v>219</v>
      </c>
      <c r="AS51">
        <v>1</v>
      </c>
      <c r="AT51" t="s">
        <v>615</v>
      </c>
      <c r="AU51">
        <v>2</v>
      </c>
      <c r="AV51" t="s">
        <v>219</v>
      </c>
      <c r="AW51" s="1">
        <f t="shared" si="1"/>
        <v>17</v>
      </c>
    </row>
    <row r="52" spans="1:49" ht="20.25" customHeight="1" x14ac:dyDescent="0.25">
      <c r="A52" t="s">
        <v>36</v>
      </c>
      <c r="B52" t="s">
        <v>616</v>
      </c>
      <c r="C52" t="s">
        <v>617</v>
      </c>
      <c r="D52" t="s">
        <v>618</v>
      </c>
      <c r="E52" t="b">
        <v>0</v>
      </c>
      <c r="F52">
        <v>302043</v>
      </c>
      <c r="G52" t="s">
        <v>619</v>
      </c>
      <c r="H52" t="s">
        <v>620</v>
      </c>
      <c r="I52" t="s">
        <v>67</v>
      </c>
      <c r="J52" t="s">
        <v>43</v>
      </c>
      <c r="K52" t="s">
        <v>621</v>
      </c>
      <c r="L52" t="s">
        <v>622</v>
      </c>
      <c r="M52" t="s">
        <v>70</v>
      </c>
      <c r="N52" t="s">
        <v>47</v>
      </c>
      <c r="O52">
        <v>131169</v>
      </c>
      <c r="P52" t="s">
        <v>48</v>
      </c>
      <c r="Q52" t="s">
        <v>49</v>
      </c>
      <c r="R52" t="s">
        <v>71</v>
      </c>
      <c r="S52" t="s">
        <v>51</v>
      </c>
      <c r="T52" t="s">
        <v>52</v>
      </c>
      <c r="U52">
        <v>0</v>
      </c>
      <c r="W52">
        <v>1</v>
      </c>
      <c r="X52" s="8" t="s">
        <v>623</v>
      </c>
      <c r="Y52">
        <v>1</v>
      </c>
      <c r="Z52" s="8" t="s">
        <v>624</v>
      </c>
      <c r="AA52">
        <v>1</v>
      </c>
      <c r="AB52" s="8" t="s">
        <v>625</v>
      </c>
      <c r="AC52">
        <v>0</v>
      </c>
      <c r="AE52">
        <v>0</v>
      </c>
      <c r="AG52">
        <v>1</v>
      </c>
      <c r="AH52" s="8" t="s">
        <v>626</v>
      </c>
      <c r="AI52">
        <v>0</v>
      </c>
      <c r="AK52">
        <v>2</v>
      </c>
      <c r="AL52" s="8" t="s">
        <v>627</v>
      </c>
      <c r="AM52">
        <v>2</v>
      </c>
      <c r="AN52" t="s">
        <v>628</v>
      </c>
      <c r="AO52">
        <v>2</v>
      </c>
      <c r="AP52" t="s">
        <v>219</v>
      </c>
      <c r="AQ52">
        <v>2</v>
      </c>
      <c r="AR52" t="s">
        <v>219</v>
      </c>
      <c r="AS52">
        <v>0</v>
      </c>
      <c r="AU52">
        <v>2</v>
      </c>
      <c r="AV52" t="s">
        <v>219</v>
      </c>
      <c r="AW52" s="1">
        <f t="shared" si="1"/>
        <v>14</v>
      </c>
    </row>
    <row r="53" spans="1:49" ht="15.75" customHeight="1" x14ac:dyDescent="0.25">
      <c r="A53" t="s">
        <v>36</v>
      </c>
      <c r="B53" t="s">
        <v>37</v>
      </c>
      <c r="C53" t="s">
        <v>629</v>
      </c>
      <c r="D53" t="s">
        <v>630</v>
      </c>
      <c r="E53" t="b">
        <v>0</v>
      </c>
      <c r="F53">
        <v>22708</v>
      </c>
      <c r="G53" t="s">
        <v>631</v>
      </c>
      <c r="H53" t="s">
        <v>632</v>
      </c>
      <c r="I53" t="s">
        <v>42</v>
      </c>
      <c r="J53" t="s">
        <v>43</v>
      </c>
      <c r="K53" t="s">
        <v>633</v>
      </c>
      <c r="L53" t="s">
        <v>634</v>
      </c>
      <c r="M53" t="s">
        <v>156</v>
      </c>
      <c r="N53" t="s">
        <v>47</v>
      </c>
      <c r="O53">
        <v>6489</v>
      </c>
      <c r="P53" t="s">
        <v>48</v>
      </c>
      <c r="Q53" t="s">
        <v>49</v>
      </c>
      <c r="R53" t="s">
        <v>50</v>
      </c>
      <c r="S53" t="s">
        <v>51</v>
      </c>
      <c r="T53" t="s">
        <v>52</v>
      </c>
      <c r="U53">
        <v>1</v>
      </c>
      <c r="V53" s="8" t="s">
        <v>635</v>
      </c>
      <c r="W53">
        <v>2</v>
      </c>
      <c r="X53" s="8" t="s">
        <v>636</v>
      </c>
      <c r="Y53">
        <v>2</v>
      </c>
      <c r="Z53" t="s">
        <v>441</v>
      </c>
      <c r="AA53">
        <v>1</v>
      </c>
      <c r="AB53" s="8" t="s">
        <v>637</v>
      </c>
      <c r="AC53">
        <v>2</v>
      </c>
      <c r="AD53" s="8" t="s">
        <v>638</v>
      </c>
      <c r="AE53">
        <v>2</v>
      </c>
      <c r="AF53" t="s">
        <v>441</v>
      </c>
      <c r="AG53">
        <v>2</v>
      </c>
      <c r="AH53" s="8" t="s">
        <v>639</v>
      </c>
      <c r="AI53">
        <v>0</v>
      </c>
      <c r="AK53">
        <v>1</v>
      </c>
      <c r="AL53" s="8" t="s">
        <v>640</v>
      </c>
      <c r="AM53">
        <v>2</v>
      </c>
      <c r="AN53" t="s">
        <v>441</v>
      </c>
      <c r="AO53">
        <v>2</v>
      </c>
      <c r="AP53" t="s">
        <v>441</v>
      </c>
      <c r="AQ53">
        <v>2</v>
      </c>
      <c r="AR53" t="s">
        <v>441</v>
      </c>
      <c r="AS53">
        <v>0</v>
      </c>
      <c r="AU53">
        <v>2</v>
      </c>
      <c r="AV53" t="s">
        <v>441</v>
      </c>
      <c r="AW53" s="1">
        <f t="shared" si="1"/>
        <v>21</v>
      </c>
    </row>
    <row r="54" spans="1:49" ht="12.95" customHeight="1" x14ac:dyDescent="0.25">
      <c r="A54" t="s">
        <v>36</v>
      </c>
      <c r="B54" t="s">
        <v>95</v>
      </c>
      <c r="C54" t="s">
        <v>641</v>
      </c>
      <c r="D54" t="s">
        <v>642</v>
      </c>
      <c r="E54" t="b">
        <v>0</v>
      </c>
      <c r="F54">
        <v>8247669</v>
      </c>
      <c r="G54" t="s">
        <v>643</v>
      </c>
      <c r="H54" t="s">
        <v>644</v>
      </c>
      <c r="I54" t="s">
        <v>67</v>
      </c>
      <c r="J54" t="s">
        <v>43</v>
      </c>
      <c r="K54" t="s">
        <v>645</v>
      </c>
      <c r="L54" t="s">
        <v>101</v>
      </c>
      <c r="M54" t="s">
        <v>70</v>
      </c>
      <c r="N54" t="s">
        <v>47</v>
      </c>
      <c r="O54">
        <v>4678008</v>
      </c>
      <c r="P54" t="s">
        <v>48</v>
      </c>
      <c r="Q54" t="s">
        <v>49</v>
      </c>
      <c r="R54" t="s">
        <v>71</v>
      </c>
      <c r="S54" t="s">
        <v>51</v>
      </c>
      <c r="T54" t="s">
        <v>52</v>
      </c>
      <c r="U54">
        <v>2</v>
      </c>
      <c r="V54" t="s">
        <v>646</v>
      </c>
      <c r="W54">
        <v>2</v>
      </c>
      <c r="X54" s="8" t="s">
        <v>647</v>
      </c>
      <c r="Y54">
        <v>2</v>
      </c>
      <c r="Z54" t="s">
        <v>441</v>
      </c>
      <c r="AA54">
        <v>1</v>
      </c>
      <c r="AB54" s="8" t="s">
        <v>648</v>
      </c>
      <c r="AC54">
        <v>1</v>
      </c>
      <c r="AD54" s="8" t="s">
        <v>649</v>
      </c>
      <c r="AE54">
        <v>2</v>
      </c>
      <c r="AF54" t="s">
        <v>441</v>
      </c>
      <c r="AG54">
        <v>0</v>
      </c>
      <c r="AI54">
        <v>2</v>
      </c>
      <c r="AJ54" t="s">
        <v>650</v>
      </c>
      <c r="AK54">
        <v>0</v>
      </c>
      <c r="AM54">
        <v>2</v>
      </c>
      <c r="AN54" t="s">
        <v>441</v>
      </c>
      <c r="AO54">
        <v>2</v>
      </c>
      <c r="AP54" t="s">
        <v>441</v>
      </c>
      <c r="AQ54">
        <v>2</v>
      </c>
      <c r="AR54" t="s">
        <v>441</v>
      </c>
      <c r="AS54">
        <v>0</v>
      </c>
      <c r="AU54">
        <v>2</v>
      </c>
      <c r="AV54" t="s">
        <v>441</v>
      </c>
      <c r="AW54" s="1">
        <f t="shared" si="1"/>
        <v>20</v>
      </c>
    </row>
    <row r="55" spans="1:49" ht="15.95" customHeight="1" x14ac:dyDescent="0.25">
      <c r="A55" t="s">
        <v>36</v>
      </c>
      <c r="B55" t="s">
        <v>95</v>
      </c>
      <c r="C55" t="s">
        <v>651</v>
      </c>
      <c r="D55" t="s">
        <v>652</v>
      </c>
      <c r="E55" t="b">
        <v>0</v>
      </c>
      <c r="F55">
        <v>469003</v>
      </c>
      <c r="G55" t="s">
        <v>653</v>
      </c>
      <c r="H55" t="s">
        <v>654</v>
      </c>
      <c r="I55" t="s">
        <v>42</v>
      </c>
      <c r="J55" t="s">
        <v>43</v>
      </c>
      <c r="K55" t="s">
        <v>655</v>
      </c>
      <c r="L55" t="s">
        <v>101</v>
      </c>
      <c r="M55" t="s">
        <v>656</v>
      </c>
      <c r="N55" t="s">
        <v>47</v>
      </c>
      <c r="O55">
        <v>340430</v>
      </c>
      <c r="P55" t="s">
        <v>48</v>
      </c>
      <c r="Q55" t="s">
        <v>49</v>
      </c>
      <c r="R55" t="s">
        <v>71</v>
      </c>
      <c r="S55" t="s">
        <v>51</v>
      </c>
      <c r="T55" t="s">
        <v>72</v>
      </c>
      <c r="U55">
        <v>0</v>
      </c>
      <c r="W55">
        <v>2</v>
      </c>
      <c r="X55" s="8" t="s">
        <v>657</v>
      </c>
      <c r="Y55">
        <v>2</v>
      </c>
      <c r="Z55" s="8" t="s">
        <v>658</v>
      </c>
      <c r="AA55">
        <v>1</v>
      </c>
      <c r="AB55" s="8" t="s">
        <v>659</v>
      </c>
      <c r="AC55">
        <v>0</v>
      </c>
      <c r="AE55">
        <v>2</v>
      </c>
      <c r="AF55" t="s">
        <v>660</v>
      </c>
      <c r="AG55">
        <v>0</v>
      </c>
      <c r="AI55">
        <v>2</v>
      </c>
      <c r="AJ55" s="8" t="s">
        <v>661</v>
      </c>
      <c r="AK55">
        <v>0</v>
      </c>
      <c r="AM55">
        <v>2</v>
      </c>
      <c r="AN55" t="s">
        <v>301</v>
      </c>
      <c r="AO55">
        <v>2</v>
      </c>
      <c r="AP55" t="s">
        <v>301</v>
      </c>
      <c r="AQ55">
        <v>2</v>
      </c>
      <c r="AR55" t="s">
        <v>301</v>
      </c>
      <c r="AS55">
        <v>2</v>
      </c>
      <c r="AT55" t="s">
        <v>301</v>
      </c>
      <c r="AU55">
        <v>2</v>
      </c>
      <c r="AV55" t="s">
        <v>301</v>
      </c>
      <c r="AW55" s="1">
        <f t="shared" si="1"/>
        <v>19</v>
      </c>
    </row>
    <row r="56" spans="1:49" ht="18.75" customHeight="1" x14ac:dyDescent="0.25">
      <c r="A56" t="s">
        <v>36</v>
      </c>
      <c r="B56" t="s">
        <v>374</v>
      </c>
      <c r="C56" t="s">
        <v>307</v>
      </c>
      <c r="D56" t="s">
        <v>376</v>
      </c>
      <c r="E56" t="b">
        <v>0</v>
      </c>
      <c r="F56">
        <v>544278</v>
      </c>
      <c r="G56" t="s">
        <v>662</v>
      </c>
      <c r="H56" t="s">
        <v>663</v>
      </c>
      <c r="I56" t="s">
        <v>67</v>
      </c>
      <c r="J56" t="s">
        <v>43</v>
      </c>
      <c r="K56" t="s">
        <v>664</v>
      </c>
      <c r="L56" t="s">
        <v>665</v>
      </c>
      <c r="M56" t="s">
        <v>381</v>
      </c>
      <c r="N56" t="s">
        <v>47</v>
      </c>
      <c r="O56">
        <v>345171</v>
      </c>
      <c r="P56" t="s">
        <v>48</v>
      </c>
      <c r="Q56" t="s">
        <v>49</v>
      </c>
      <c r="R56" t="s">
        <v>71</v>
      </c>
      <c r="S56">
        <v>4</v>
      </c>
      <c r="T56" t="s">
        <v>72</v>
      </c>
      <c r="U56">
        <v>2</v>
      </c>
      <c r="V56" s="8" t="s">
        <v>666</v>
      </c>
      <c r="W56" s="14">
        <v>2</v>
      </c>
      <c r="X56" t="s">
        <v>219</v>
      </c>
      <c r="Y56" s="14">
        <v>2</v>
      </c>
      <c r="AA56">
        <v>2</v>
      </c>
      <c r="AB56" s="8" t="s">
        <v>667</v>
      </c>
      <c r="AC56" s="14">
        <v>2</v>
      </c>
      <c r="AD56" t="s">
        <v>219</v>
      </c>
      <c r="AE56" s="14">
        <v>2</v>
      </c>
      <c r="AF56" t="s">
        <v>219</v>
      </c>
      <c r="AG56" s="8">
        <v>2</v>
      </c>
      <c r="AH56" s="8" t="s">
        <v>668</v>
      </c>
      <c r="AI56">
        <v>2</v>
      </c>
      <c r="AJ56" s="8" t="s">
        <v>669</v>
      </c>
      <c r="AK56">
        <v>2</v>
      </c>
      <c r="AL56" s="8" t="s">
        <v>670</v>
      </c>
      <c r="AM56" s="14">
        <v>2</v>
      </c>
      <c r="AO56" s="14">
        <v>2</v>
      </c>
      <c r="AQ56">
        <v>2</v>
      </c>
      <c r="AS56">
        <v>2</v>
      </c>
      <c r="AU56">
        <v>2</v>
      </c>
      <c r="AW56" s="1">
        <f t="shared" si="1"/>
        <v>28</v>
      </c>
    </row>
    <row r="57" spans="1:49" ht="18.75" customHeight="1" x14ac:dyDescent="0.25">
      <c r="A57" t="s">
        <v>36</v>
      </c>
      <c r="B57" t="s">
        <v>671</v>
      </c>
      <c r="C57" t="s">
        <v>672</v>
      </c>
      <c r="D57" t="s">
        <v>672</v>
      </c>
      <c r="E57" t="b">
        <v>0</v>
      </c>
      <c r="F57">
        <v>3325607</v>
      </c>
      <c r="G57" t="s">
        <v>673</v>
      </c>
      <c r="H57" t="s">
        <v>674</v>
      </c>
      <c r="I57" t="s">
        <v>67</v>
      </c>
      <c r="J57" t="s">
        <v>43</v>
      </c>
      <c r="K57" t="s">
        <v>675</v>
      </c>
      <c r="L57" t="s">
        <v>101</v>
      </c>
      <c r="M57" t="s">
        <v>381</v>
      </c>
      <c r="N57" t="s">
        <v>47</v>
      </c>
      <c r="O57">
        <v>2897455</v>
      </c>
      <c r="P57" t="s">
        <v>48</v>
      </c>
      <c r="Q57" t="s">
        <v>49</v>
      </c>
      <c r="R57" t="s">
        <v>71</v>
      </c>
      <c r="S57">
        <v>5</v>
      </c>
      <c r="T57" t="s">
        <v>72</v>
      </c>
      <c r="U57">
        <v>2</v>
      </c>
      <c r="V57" t="s">
        <v>676</v>
      </c>
      <c r="W57" s="14">
        <v>2</v>
      </c>
      <c r="X57" t="s">
        <v>219</v>
      </c>
      <c r="Y57" s="14">
        <v>2</v>
      </c>
      <c r="AA57">
        <v>2</v>
      </c>
      <c r="AB57" s="8" t="s">
        <v>677</v>
      </c>
      <c r="AC57" s="14">
        <v>2</v>
      </c>
      <c r="AD57" t="s">
        <v>219</v>
      </c>
      <c r="AE57" s="14">
        <v>2</v>
      </c>
      <c r="AF57" t="s">
        <v>219</v>
      </c>
      <c r="AG57">
        <v>2</v>
      </c>
      <c r="AH57" s="8" t="s">
        <v>678</v>
      </c>
      <c r="AI57">
        <v>2</v>
      </c>
      <c r="AJ57" t="s">
        <v>679</v>
      </c>
      <c r="AK57">
        <v>2</v>
      </c>
      <c r="AL57" s="8" t="s">
        <v>680</v>
      </c>
      <c r="AM57" s="14">
        <v>2</v>
      </c>
      <c r="AO57" s="14">
        <v>2</v>
      </c>
      <c r="AQ57">
        <v>2</v>
      </c>
      <c r="AS57">
        <v>2</v>
      </c>
      <c r="AU57">
        <v>2</v>
      </c>
      <c r="AW57" s="1">
        <f t="shared" si="1"/>
        <v>28</v>
      </c>
    </row>
    <row r="58" spans="1:49" ht="15.75" customHeight="1" x14ac:dyDescent="0.25">
      <c r="A58" t="s">
        <v>36</v>
      </c>
      <c r="B58" t="s">
        <v>115</v>
      </c>
      <c r="C58" t="s">
        <v>681</v>
      </c>
      <c r="D58" t="s">
        <v>682</v>
      </c>
      <c r="E58" t="b">
        <v>0</v>
      </c>
      <c r="F58">
        <v>645410</v>
      </c>
      <c r="G58" t="s">
        <v>683</v>
      </c>
      <c r="H58" t="s">
        <v>684</v>
      </c>
      <c r="I58" t="s">
        <v>67</v>
      </c>
      <c r="J58" t="s">
        <v>43</v>
      </c>
      <c r="K58" t="s">
        <v>685</v>
      </c>
      <c r="L58" t="s">
        <v>686</v>
      </c>
      <c r="M58" t="s">
        <v>122</v>
      </c>
      <c r="N58" t="s">
        <v>47</v>
      </c>
      <c r="O58">
        <v>27975</v>
      </c>
      <c r="P58" t="s">
        <v>48</v>
      </c>
      <c r="Q58" t="s">
        <v>49</v>
      </c>
      <c r="R58" t="s">
        <v>71</v>
      </c>
      <c r="S58">
        <v>3</v>
      </c>
      <c r="T58" t="s">
        <v>72</v>
      </c>
      <c r="U58">
        <v>1</v>
      </c>
      <c r="V58" t="s">
        <v>687</v>
      </c>
      <c r="W58" s="14">
        <v>2</v>
      </c>
      <c r="X58" t="s">
        <v>219</v>
      </c>
      <c r="Y58" s="14">
        <v>2</v>
      </c>
      <c r="AA58">
        <v>0</v>
      </c>
      <c r="AC58" s="14">
        <v>2</v>
      </c>
      <c r="AD58" t="s">
        <v>219</v>
      </c>
      <c r="AE58" s="14">
        <v>2</v>
      </c>
      <c r="AF58" t="s">
        <v>219</v>
      </c>
      <c r="AG58">
        <v>2</v>
      </c>
      <c r="AH58" t="s">
        <v>688</v>
      </c>
      <c r="AI58">
        <v>2</v>
      </c>
      <c r="AJ58" t="s">
        <v>689</v>
      </c>
      <c r="AK58">
        <v>1</v>
      </c>
      <c r="AL58" s="8" t="s">
        <v>690</v>
      </c>
      <c r="AM58" s="14">
        <v>2</v>
      </c>
      <c r="AO58" s="14">
        <v>2</v>
      </c>
      <c r="AQ58">
        <v>2</v>
      </c>
      <c r="AS58">
        <v>2</v>
      </c>
      <c r="AU58">
        <v>2</v>
      </c>
      <c r="AW58" s="1">
        <f t="shared" si="1"/>
        <v>24</v>
      </c>
    </row>
    <row r="59" spans="1:49" ht="12" customHeight="1" x14ac:dyDescent="0.25">
      <c r="A59" t="s">
        <v>36</v>
      </c>
      <c r="B59" t="s">
        <v>62</v>
      </c>
      <c r="C59" t="s">
        <v>691</v>
      </c>
      <c r="D59" t="s">
        <v>692</v>
      </c>
      <c r="E59" t="b">
        <v>0</v>
      </c>
      <c r="F59">
        <v>999130</v>
      </c>
      <c r="G59" t="s">
        <v>693</v>
      </c>
      <c r="H59" t="s">
        <v>694</v>
      </c>
      <c r="I59" t="s">
        <v>67</v>
      </c>
      <c r="J59" t="s">
        <v>43</v>
      </c>
      <c r="K59" t="s">
        <v>695</v>
      </c>
      <c r="L59" t="s">
        <v>101</v>
      </c>
      <c r="M59" t="s">
        <v>70</v>
      </c>
      <c r="N59" t="s">
        <v>47</v>
      </c>
      <c r="O59">
        <v>482164</v>
      </c>
      <c r="P59" t="s">
        <v>48</v>
      </c>
      <c r="Q59" t="s">
        <v>49</v>
      </c>
      <c r="R59" t="s">
        <v>71</v>
      </c>
      <c r="S59">
        <v>2</v>
      </c>
      <c r="T59" t="s">
        <v>72</v>
      </c>
      <c r="U59">
        <v>1</v>
      </c>
      <c r="V59" t="s">
        <v>696</v>
      </c>
      <c r="W59" s="14">
        <v>2</v>
      </c>
      <c r="X59" t="s">
        <v>219</v>
      </c>
      <c r="Y59" s="14">
        <v>2</v>
      </c>
      <c r="AA59">
        <v>2</v>
      </c>
      <c r="AB59" s="8" t="s">
        <v>697</v>
      </c>
      <c r="AC59" s="14">
        <v>2</v>
      </c>
      <c r="AD59" t="s">
        <v>219</v>
      </c>
      <c r="AE59" s="14">
        <v>2</v>
      </c>
      <c r="AF59" t="s">
        <v>219</v>
      </c>
      <c r="AG59">
        <v>1</v>
      </c>
      <c r="AH59" s="8" t="s">
        <v>698</v>
      </c>
      <c r="AI59">
        <v>0</v>
      </c>
      <c r="AK59">
        <v>2</v>
      </c>
      <c r="AL59" s="8" t="s">
        <v>699</v>
      </c>
      <c r="AM59" s="14">
        <v>2</v>
      </c>
      <c r="AO59" s="14">
        <v>2</v>
      </c>
      <c r="AQ59">
        <v>2</v>
      </c>
      <c r="AS59">
        <v>2</v>
      </c>
      <c r="AU59">
        <v>2</v>
      </c>
      <c r="AW59" s="1">
        <f t="shared" si="1"/>
        <v>24</v>
      </c>
    </row>
    <row r="60" spans="1:49" ht="14.25" customHeight="1" x14ac:dyDescent="0.25">
      <c r="A60" t="s">
        <v>36</v>
      </c>
      <c r="B60" t="s">
        <v>167</v>
      </c>
      <c r="C60" t="s">
        <v>700</v>
      </c>
      <c r="D60" t="s">
        <v>700</v>
      </c>
      <c r="E60" t="b">
        <v>0</v>
      </c>
      <c r="F60">
        <v>168442</v>
      </c>
      <c r="G60" t="s">
        <v>701</v>
      </c>
      <c r="H60" t="s">
        <v>702</v>
      </c>
      <c r="I60" t="s">
        <v>42</v>
      </c>
      <c r="J60" t="s">
        <v>43</v>
      </c>
      <c r="K60" t="s">
        <v>703</v>
      </c>
      <c r="L60" t="s">
        <v>217</v>
      </c>
      <c r="M60" t="s">
        <v>299</v>
      </c>
      <c r="N60" t="s">
        <v>47</v>
      </c>
      <c r="O60">
        <v>155897</v>
      </c>
      <c r="P60" t="s">
        <v>48</v>
      </c>
      <c r="Q60" t="s">
        <v>49</v>
      </c>
      <c r="R60" t="s">
        <v>50</v>
      </c>
      <c r="S60">
        <v>5</v>
      </c>
      <c r="T60" t="s">
        <v>72</v>
      </c>
      <c r="U60">
        <v>2</v>
      </c>
      <c r="V60" s="8" t="s">
        <v>704</v>
      </c>
      <c r="W60" s="14">
        <v>2</v>
      </c>
      <c r="X60" t="s">
        <v>219</v>
      </c>
      <c r="Y60" s="14">
        <v>2</v>
      </c>
      <c r="AA60">
        <v>2</v>
      </c>
      <c r="AB60" s="8" t="s">
        <v>705</v>
      </c>
      <c r="AC60" s="14">
        <v>2</v>
      </c>
      <c r="AD60" t="s">
        <v>219</v>
      </c>
      <c r="AE60" s="14">
        <v>2</v>
      </c>
      <c r="AF60" t="s">
        <v>219</v>
      </c>
      <c r="AG60">
        <v>0</v>
      </c>
      <c r="AI60">
        <v>2</v>
      </c>
      <c r="AJ60" t="s">
        <v>706</v>
      </c>
      <c r="AK60">
        <v>2</v>
      </c>
      <c r="AL60" t="s">
        <v>707</v>
      </c>
      <c r="AM60" s="14">
        <v>2</v>
      </c>
      <c r="AO60" s="14">
        <v>2</v>
      </c>
      <c r="AQ60">
        <v>2</v>
      </c>
      <c r="AS60">
        <v>2</v>
      </c>
      <c r="AU60">
        <v>2</v>
      </c>
      <c r="AW60" s="1">
        <f t="shared" si="1"/>
        <v>26</v>
      </c>
    </row>
    <row r="61" spans="1:49" ht="27.75" customHeight="1" x14ac:dyDescent="0.25">
      <c r="A61" t="s">
        <v>36</v>
      </c>
      <c r="B61" t="s">
        <v>374</v>
      </c>
      <c r="C61" t="s">
        <v>708</v>
      </c>
      <c r="D61" t="s">
        <v>709</v>
      </c>
      <c r="E61" t="b">
        <v>0</v>
      </c>
      <c r="F61">
        <v>297261</v>
      </c>
      <c r="G61" t="s">
        <v>710</v>
      </c>
      <c r="H61" t="s">
        <v>711</v>
      </c>
      <c r="I61" t="s">
        <v>42</v>
      </c>
      <c r="J61" t="s">
        <v>43</v>
      </c>
      <c r="K61" t="s">
        <v>712</v>
      </c>
      <c r="L61" t="s">
        <v>101</v>
      </c>
      <c r="M61" t="s">
        <v>156</v>
      </c>
      <c r="N61" t="s">
        <v>47</v>
      </c>
      <c r="O61">
        <v>194670</v>
      </c>
      <c r="P61" t="s">
        <v>48</v>
      </c>
      <c r="Q61" t="s">
        <v>49</v>
      </c>
      <c r="R61" t="s">
        <v>71</v>
      </c>
      <c r="S61">
        <v>2</v>
      </c>
      <c r="T61" t="s">
        <v>72</v>
      </c>
      <c r="U61">
        <v>1</v>
      </c>
      <c r="V61" s="8" t="s">
        <v>713</v>
      </c>
      <c r="W61" s="14">
        <v>2</v>
      </c>
      <c r="X61" t="s">
        <v>219</v>
      </c>
      <c r="Y61" s="14">
        <v>2</v>
      </c>
      <c r="AA61">
        <v>1</v>
      </c>
      <c r="AB61" s="8" t="s">
        <v>714</v>
      </c>
      <c r="AC61" s="14">
        <v>2</v>
      </c>
      <c r="AD61" t="s">
        <v>219</v>
      </c>
      <c r="AE61" s="14">
        <v>2</v>
      </c>
      <c r="AF61" t="s">
        <v>219</v>
      </c>
      <c r="AG61">
        <v>0</v>
      </c>
      <c r="AI61">
        <v>1</v>
      </c>
      <c r="AJ61" s="8" t="s">
        <v>715</v>
      </c>
      <c r="AK61">
        <v>0</v>
      </c>
      <c r="AM61" s="14">
        <v>2</v>
      </c>
      <c r="AO61" s="14">
        <v>2</v>
      </c>
      <c r="AQ61">
        <v>2</v>
      </c>
      <c r="AS61">
        <v>2</v>
      </c>
      <c r="AU61">
        <v>2</v>
      </c>
      <c r="AW61" s="1">
        <f t="shared" si="1"/>
        <v>21</v>
      </c>
    </row>
    <row r="62" spans="1:49" x14ac:dyDescent="0.25">
      <c r="A62" t="s">
        <v>36</v>
      </c>
      <c r="B62" t="s">
        <v>223</v>
      </c>
      <c r="C62" t="s">
        <v>716</v>
      </c>
      <c r="D62" t="s">
        <v>716</v>
      </c>
      <c r="E62" t="b">
        <v>0</v>
      </c>
      <c r="F62">
        <v>5812947</v>
      </c>
      <c r="G62" t="s">
        <v>717</v>
      </c>
      <c r="H62" t="s">
        <v>718</v>
      </c>
      <c r="I62" t="s">
        <v>42</v>
      </c>
      <c r="J62" t="s">
        <v>43</v>
      </c>
      <c r="K62" t="s">
        <v>719</v>
      </c>
      <c r="L62" t="s">
        <v>720</v>
      </c>
      <c r="M62" t="s">
        <v>89</v>
      </c>
      <c r="N62" t="s">
        <v>47</v>
      </c>
      <c r="O62">
        <v>2016160</v>
      </c>
      <c r="P62" t="s">
        <v>48</v>
      </c>
      <c r="Q62" t="s">
        <v>49</v>
      </c>
      <c r="R62" t="s">
        <v>71</v>
      </c>
      <c r="S62" t="s">
        <v>51</v>
      </c>
      <c r="T62" t="s">
        <v>72</v>
      </c>
      <c r="U62">
        <v>0</v>
      </c>
      <c r="W62">
        <v>2</v>
      </c>
      <c r="X62" s="8" t="s">
        <v>219</v>
      </c>
      <c r="Y62">
        <v>2</v>
      </c>
      <c r="Z62" s="8" t="s">
        <v>219</v>
      </c>
      <c r="AA62">
        <v>1</v>
      </c>
      <c r="AB62" t="s">
        <v>721</v>
      </c>
      <c r="AC62">
        <v>2</v>
      </c>
      <c r="AD62" s="8" t="s">
        <v>219</v>
      </c>
      <c r="AE62">
        <v>2</v>
      </c>
      <c r="AF62" s="8" t="s">
        <v>219</v>
      </c>
      <c r="AG62">
        <v>0</v>
      </c>
      <c r="AI62">
        <v>0</v>
      </c>
      <c r="AK62">
        <v>0</v>
      </c>
      <c r="AM62">
        <v>2</v>
      </c>
      <c r="AN62" s="8" t="s">
        <v>219</v>
      </c>
      <c r="AO62">
        <v>2</v>
      </c>
      <c r="AP62" s="8" t="s">
        <v>219</v>
      </c>
      <c r="AQ62">
        <v>2</v>
      </c>
      <c r="AR62" s="8" t="s">
        <v>219</v>
      </c>
      <c r="AS62">
        <v>2</v>
      </c>
      <c r="AT62" s="8" t="s">
        <v>219</v>
      </c>
      <c r="AU62">
        <v>2</v>
      </c>
      <c r="AV62" s="8" t="s">
        <v>219</v>
      </c>
      <c r="AW62" s="1">
        <f t="shared" si="1"/>
        <v>19</v>
      </c>
    </row>
    <row r="63" spans="1:49" ht="17.25" customHeight="1" x14ac:dyDescent="0.25">
      <c r="A63" t="s">
        <v>36</v>
      </c>
      <c r="B63" t="s">
        <v>62</v>
      </c>
      <c r="C63" t="s">
        <v>722</v>
      </c>
      <c r="D63" t="s">
        <v>723</v>
      </c>
      <c r="E63" t="b">
        <v>0</v>
      </c>
      <c r="F63">
        <v>10651244</v>
      </c>
      <c r="G63" t="s">
        <v>724</v>
      </c>
      <c r="H63" t="s">
        <v>725</v>
      </c>
      <c r="I63" t="s">
        <v>67</v>
      </c>
      <c r="J63" t="s">
        <v>43</v>
      </c>
      <c r="K63" t="s">
        <v>726</v>
      </c>
      <c r="L63" t="s">
        <v>101</v>
      </c>
      <c r="M63" t="s">
        <v>70</v>
      </c>
      <c r="N63" t="s">
        <v>47</v>
      </c>
      <c r="O63">
        <v>9198316</v>
      </c>
      <c r="P63" t="s">
        <v>48</v>
      </c>
      <c r="Q63" t="s">
        <v>49</v>
      </c>
      <c r="R63" t="s">
        <v>71</v>
      </c>
      <c r="S63">
        <v>4</v>
      </c>
      <c r="T63" t="s">
        <v>72</v>
      </c>
      <c r="U63">
        <v>2</v>
      </c>
      <c r="V63" t="s">
        <v>727</v>
      </c>
      <c r="W63" s="14">
        <v>2</v>
      </c>
      <c r="X63" t="s">
        <v>728</v>
      </c>
      <c r="Y63" s="14">
        <v>2</v>
      </c>
      <c r="AA63">
        <v>1</v>
      </c>
      <c r="AB63" s="8" t="s">
        <v>729</v>
      </c>
      <c r="AC63" s="14">
        <v>2</v>
      </c>
      <c r="AD63" t="s">
        <v>730</v>
      </c>
      <c r="AE63" s="14">
        <v>2</v>
      </c>
      <c r="AF63" s="8" t="s">
        <v>731</v>
      </c>
      <c r="AG63">
        <v>2</v>
      </c>
      <c r="AH63" s="8" t="s">
        <v>732</v>
      </c>
      <c r="AI63">
        <v>2</v>
      </c>
      <c r="AJ63" s="8" t="s">
        <v>733</v>
      </c>
      <c r="AK63">
        <v>0</v>
      </c>
      <c r="AM63" s="14">
        <v>2</v>
      </c>
      <c r="AO63">
        <v>2</v>
      </c>
      <c r="AQ63">
        <v>2</v>
      </c>
      <c r="AS63">
        <v>2</v>
      </c>
      <c r="AU63">
        <v>2</v>
      </c>
      <c r="AW63" s="1">
        <f t="shared" si="1"/>
        <v>25</v>
      </c>
    </row>
    <row r="64" spans="1:49" ht="27.75" customHeight="1" x14ac:dyDescent="0.25">
      <c r="A64" t="s">
        <v>36</v>
      </c>
      <c r="B64" t="s">
        <v>62</v>
      </c>
      <c r="C64" t="s">
        <v>734</v>
      </c>
      <c r="D64" t="s">
        <v>734</v>
      </c>
      <c r="E64" t="b">
        <v>0</v>
      </c>
      <c r="F64">
        <v>576290</v>
      </c>
      <c r="G64" t="s">
        <v>735</v>
      </c>
      <c r="H64" t="s">
        <v>736</v>
      </c>
      <c r="I64" t="s">
        <v>67</v>
      </c>
      <c r="J64" t="s">
        <v>43</v>
      </c>
      <c r="K64" t="s">
        <v>737</v>
      </c>
      <c r="L64" t="s">
        <v>276</v>
      </c>
      <c r="M64" t="s">
        <v>102</v>
      </c>
      <c r="N64" t="s">
        <v>47</v>
      </c>
      <c r="O64">
        <v>529371</v>
      </c>
      <c r="P64" t="s">
        <v>48</v>
      </c>
      <c r="Q64" t="s">
        <v>49</v>
      </c>
      <c r="R64" t="s">
        <v>50</v>
      </c>
      <c r="S64">
        <v>3</v>
      </c>
      <c r="T64" t="s">
        <v>72</v>
      </c>
      <c r="U64">
        <v>2</v>
      </c>
      <c r="V64" s="8" t="s">
        <v>738</v>
      </c>
      <c r="W64" s="14">
        <v>2</v>
      </c>
      <c r="X64" t="s">
        <v>301</v>
      </c>
      <c r="Y64" s="14">
        <v>2</v>
      </c>
      <c r="AA64">
        <v>2</v>
      </c>
      <c r="AB64" s="8" t="s">
        <v>739</v>
      </c>
      <c r="AC64" s="14">
        <v>0</v>
      </c>
      <c r="AE64" s="14">
        <v>0</v>
      </c>
      <c r="AG64">
        <v>1</v>
      </c>
      <c r="AH64" t="s">
        <v>740</v>
      </c>
      <c r="AI64">
        <v>1</v>
      </c>
      <c r="AJ64" s="8" t="s">
        <v>741</v>
      </c>
      <c r="AK64">
        <v>0</v>
      </c>
      <c r="AM64" s="14">
        <v>2</v>
      </c>
      <c r="AO64">
        <v>2</v>
      </c>
      <c r="AQ64">
        <v>2</v>
      </c>
      <c r="AS64">
        <v>2</v>
      </c>
      <c r="AU64">
        <v>2</v>
      </c>
      <c r="AW64" s="1">
        <f t="shared" si="1"/>
        <v>20</v>
      </c>
    </row>
    <row r="65" spans="1:49" ht="17.100000000000001" customHeight="1" x14ac:dyDescent="0.25">
      <c r="A65" t="s">
        <v>36</v>
      </c>
      <c r="B65" t="s">
        <v>451</v>
      </c>
      <c r="C65" t="s">
        <v>742</v>
      </c>
      <c r="D65" t="s">
        <v>743</v>
      </c>
      <c r="E65" t="b">
        <v>0</v>
      </c>
      <c r="F65">
        <v>278197</v>
      </c>
      <c r="G65" t="s">
        <v>744</v>
      </c>
      <c r="H65" t="s">
        <v>745</v>
      </c>
      <c r="I65" t="s">
        <v>42</v>
      </c>
      <c r="J65" t="s">
        <v>43</v>
      </c>
      <c r="K65" t="s">
        <v>746</v>
      </c>
      <c r="L65" t="s">
        <v>352</v>
      </c>
      <c r="M65" t="s">
        <v>156</v>
      </c>
      <c r="N65" t="s">
        <v>47</v>
      </c>
      <c r="O65">
        <v>134815</v>
      </c>
      <c r="P65" t="s">
        <v>48</v>
      </c>
      <c r="Q65" t="s">
        <v>49</v>
      </c>
      <c r="R65" t="s">
        <v>50</v>
      </c>
      <c r="S65" t="s">
        <v>51</v>
      </c>
      <c r="T65" t="s">
        <v>52</v>
      </c>
      <c r="U65">
        <v>0</v>
      </c>
      <c r="W65">
        <v>0</v>
      </c>
      <c r="Y65" s="14">
        <v>0</v>
      </c>
      <c r="Z65" s="8"/>
      <c r="AA65">
        <v>1</v>
      </c>
      <c r="AB65" s="8" t="s">
        <v>747</v>
      </c>
      <c r="AC65">
        <v>2</v>
      </c>
      <c r="AD65" t="s">
        <v>748</v>
      </c>
      <c r="AE65">
        <v>0</v>
      </c>
      <c r="AG65">
        <v>0</v>
      </c>
      <c r="AI65">
        <v>0</v>
      </c>
      <c r="AJ65" s="8"/>
      <c r="AK65">
        <v>0</v>
      </c>
      <c r="AM65" s="14">
        <v>2</v>
      </c>
      <c r="AN65" t="s">
        <v>749</v>
      </c>
      <c r="AO65">
        <v>2</v>
      </c>
      <c r="AP65" s="8" t="s">
        <v>219</v>
      </c>
      <c r="AQ65">
        <v>2</v>
      </c>
      <c r="AR65" s="8" t="s">
        <v>219</v>
      </c>
      <c r="AS65">
        <v>0</v>
      </c>
      <c r="AU65">
        <v>2</v>
      </c>
      <c r="AV65" s="8" t="s">
        <v>219</v>
      </c>
      <c r="AW65" s="1">
        <f t="shared" si="1"/>
        <v>11</v>
      </c>
    </row>
    <row r="66" spans="1:49" ht="18.75" customHeight="1" x14ac:dyDescent="0.25">
      <c r="A66" t="s">
        <v>36</v>
      </c>
      <c r="B66" t="s">
        <v>750</v>
      </c>
      <c r="C66" t="s">
        <v>751</v>
      </c>
      <c r="D66" t="s">
        <v>752</v>
      </c>
      <c r="E66" t="b">
        <v>0</v>
      </c>
      <c r="F66">
        <v>51317</v>
      </c>
      <c r="G66" t="s">
        <v>753</v>
      </c>
      <c r="H66" t="s">
        <v>754</v>
      </c>
      <c r="I66" t="s">
        <v>42</v>
      </c>
      <c r="J66" t="s">
        <v>43</v>
      </c>
      <c r="K66" t="s">
        <v>755</v>
      </c>
      <c r="L66" t="s">
        <v>756</v>
      </c>
      <c r="M66" t="s">
        <v>156</v>
      </c>
      <c r="N66" t="s">
        <v>47</v>
      </c>
      <c r="O66">
        <v>25137</v>
      </c>
      <c r="P66" t="s">
        <v>48</v>
      </c>
      <c r="Q66" t="s">
        <v>49</v>
      </c>
      <c r="R66" t="s">
        <v>71</v>
      </c>
      <c r="S66">
        <v>4</v>
      </c>
      <c r="T66" t="s">
        <v>72</v>
      </c>
      <c r="U66">
        <v>1</v>
      </c>
      <c r="V66" s="8" t="s">
        <v>757</v>
      </c>
      <c r="W66" s="14">
        <v>2</v>
      </c>
      <c r="X66" t="s">
        <v>219</v>
      </c>
      <c r="Y66" s="14">
        <v>2</v>
      </c>
      <c r="AA66">
        <v>1</v>
      </c>
      <c r="AB66" s="8" t="s">
        <v>758</v>
      </c>
      <c r="AC66" s="14">
        <v>2</v>
      </c>
      <c r="AD66" t="s">
        <v>219</v>
      </c>
      <c r="AE66" s="14">
        <v>2</v>
      </c>
      <c r="AF66" t="s">
        <v>219</v>
      </c>
      <c r="AG66">
        <v>1</v>
      </c>
      <c r="AH66" s="8" t="s">
        <v>759</v>
      </c>
      <c r="AI66">
        <v>0</v>
      </c>
      <c r="AK66">
        <v>0</v>
      </c>
      <c r="AM66" s="14">
        <v>2</v>
      </c>
      <c r="AO66">
        <v>2</v>
      </c>
      <c r="AQ66">
        <v>2</v>
      </c>
      <c r="AS66">
        <v>2</v>
      </c>
      <c r="AU66">
        <v>2</v>
      </c>
      <c r="AW66" s="1">
        <f t="shared" si="1"/>
        <v>21</v>
      </c>
    </row>
    <row r="67" spans="1:49" x14ac:dyDescent="0.25">
      <c r="A67" t="s">
        <v>36</v>
      </c>
      <c r="B67" t="s">
        <v>223</v>
      </c>
      <c r="C67" t="s">
        <v>760</v>
      </c>
      <c r="D67" t="s">
        <v>761</v>
      </c>
      <c r="E67" t="b">
        <v>0</v>
      </c>
      <c r="F67">
        <v>456402</v>
      </c>
      <c r="G67" t="s">
        <v>762</v>
      </c>
      <c r="H67" t="s">
        <v>763</v>
      </c>
      <c r="I67" t="s">
        <v>42</v>
      </c>
      <c r="J67" t="s">
        <v>43</v>
      </c>
      <c r="K67" t="s">
        <v>764</v>
      </c>
      <c r="L67" t="s">
        <v>765</v>
      </c>
      <c r="M67" t="s">
        <v>156</v>
      </c>
      <c r="N67" t="s">
        <v>47</v>
      </c>
      <c r="O67">
        <v>80362</v>
      </c>
      <c r="P67" t="s">
        <v>48</v>
      </c>
      <c r="Q67" t="s">
        <v>49</v>
      </c>
      <c r="R67" t="s">
        <v>71</v>
      </c>
      <c r="S67" t="s">
        <v>51</v>
      </c>
      <c r="T67" t="s">
        <v>52</v>
      </c>
      <c r="U67">
        <v>0</v>
      </c>
      <c r="W67">
        <v>0</v>
      </c>
      <c r="Y67">
        <v>2</v>
      </c>
      <c r="Z67" t="s">
        <v>438</v>
      </c>
      <c r="AA67">
        <v>1</v>
      </c>
      <c r="AB67" t="s">
        <v>766</v>
      </c>
      <c r="AC67">
        <v>2</v>
      </c>
      <c r="AD67" t="s">
        <v>767</v>
      </c>
      <c r="AE67">
        <v>2</v>
      </c>
      <c r="AF67" t="s">
        <v>438</v>
      </c>
      <c r="AG67">
        <v>0</v>
      </c>
      <c r="AI67">
        <v>1</v>
      </c>
      <c r="AJ67" t="s">
        <v>768</v>
      </c>
      <c r="AK67">
        <v>0</v>
      </c>
      <c r="AM67">
        <v>2</v>
      </c>
      <c r="AN67" t="s">
        <v>438</v>
      </c>
      <c r="AO67">
        <v>2</v>
      </c>
      <c r="AP67" t="s">
        <v>438</v>
      </c>
      <c r="AQ67">
        <v>2</v>
      </c>
      <c r="AR67" t="s">
        <v>438</v>
      </c>
      <c r="AS67">
        <v>0</v>
      </c>
      <c r="AU67">
        <v>2</v>
      </c>
      <c r="AV67" t="s">
        <v>438</v>
      </c>
      <c r="AW67" s="1">
        <f t="shared" si="1"/>
        <v>16</v>
      </c>
    </row>
    <row r="68" spans="1:49" ht="12.75" customHeight="1" x14ac:dyDescent="0.25">
      <c r="A68" t="s">
        <v>36</v>
      </c>
      <c r="B68" t="s">
        <v>95</v>
      </c>
      <c r="C68" t="s">
        <v>769</v>
      </c>
      <c r="D68" t="s">
        <v>769</v>
      </c>
      <c r="E68" t="b">
        <v>0</v>
      </c>
      <c r="F68">
        <v>2097201</v>
      </c>
      <c r="G68" t="s">
        <v>770</v>
      </c>
      <c r="H68" t="s">
        <v>771</v>
      </c>
      <c r="I68" t="s">
        <v>67</v>
      </c>
      <c r="J68" t="s">
        <v>43</v>
      </c>
      <c r="K68" t="s">
        <v>772</v>
      </c>
      <c r="L68" t="s">
        <v>101</v>
      </c>
      <c r="M68" t="s">
        <v>102</v>
      </c>
      <c r="N68" t="s">
        <v>47</v>
      </c>
      <c r="O68">
        <v>1638050</v>
      </c>
      <c r="P68" t="s">
        <v>48</v>
      </c>
      <c r="Q68" t="s">
        <v>49</v>
      </c>
      <c r="R68" t="s">
        <v>71</v>
      </c>
      <c r="S68">
        <v>3</v>
      </c>
      <c r="T68" t="s">
        <v>72</v>
      </c>
      <c r="U68">
        <v>2</v>
      </c>
      <c r="V68" s="8" t="s">
        <v>773</v>
      </c>
      <c r="W68" s="14">
        <v>2</v>
      </c>
      <c r="X68" t="s">
        <v>301</v>
      </c>
      <c r="Y68" s="14">
        <v>2</v>
      </c>
      <c r="AA68">
        <v>1</v>
      </c>
      <c r="AB68" s="8" t="s">
        <v>774</v>
      </c>
      <c r="AC68" s="14">
        <v>2</v>
      </c>
      <c r="AD68" s="8" t="s">
        <v>775</v>
      </c>
      <c r="AE68" s="14">
        <v>2</v>
      </c>
      <c r="AF68" s="8" t="s">
        <v>776</v>
      </c>
      <c r="AG68">
        <v>2</v>
      </c>
      <c r="AH68" s="8" t="s">
        <v>777</v>
      </c>
      <c r="AI68">
        <v>2</v>
      </c>
      <c r="AJ68" s="8" t="s">
        <v>778</v>
      </c>
      <c r="AK68">
        <v>2</v>
      </c>
      <c r="AL68" s="8" t="s">
        <v>779</v>
      </c>
      <c r="AM68" s="14">
        <v>2</v>
      </c>
      <c r="AO68">
        <v>2</v>
      </c>
      <c r="AQ68">
        <v>2</v>
      </c>
      <c r="AS68">
        <v>2</v>
      </c>
      <c r="AU68">
        <v>2</v>
      </c>
      <c r="AW68" s="1">
        <f t="shared" si="1"/>
        <v>27</v>
      </c>
    </row>
    <row r="69" spans="1:49" ht="18.75" customHeight="1" x14ac:dyDescent="0.25">
      <c r="A69" t="s">
        <v>36</v>
      </c>
      <c r="B69" t="s">
        <v>223</v>
      </c>
      <c r="C69" t="s">
        <v>780</v>
      </c>
      <c r="D69" t="s">
        <v>781</v>
      </c>
      <c r="E69" t="b">
        <v>0</v>
      </c>
      <c r="F69">
        <v>756188</v>
      </c>
      <c r="G69" t="s">
        <v>782</v>
      </c>
      <c r="H69" t="s">
        <v>783</v>
      </c>
      <c r="I69" t="s">
        <v>42</v>
      </c>
      <c r="J69" t="s">
        <v>43</v>
      </c>
      <c r="K69" t="s">
        <v>784</v>
      </c>
      <c r="L69" t="s">
        <v>785</v>
      </c>
      <c r="M69" t="s">
        <v>156</v>
      </c>
      <c r="N69" t="s">
        <v>47</v>
      </c>
      <c r="O69">
        <v>262618</v>
      </c>
      <c r="P69" t="s">
        <v>48</v>
      </c>
      <c r="Q69" t="s">
        <v>49</v>
      </c>
      <c r="R69" t="s">
        <v>71</v>
      </c>
      <c r="S69">
        <v>3</v>
      </c>
      <c r="T69" t="s">
        <v>72</v>
      </c>
      <c r="U69">
        <v>2</v>
      </c>
      <c r="V69" t="s">
        <v>786</v>
      </c>
      <c r="W69" s="14">
        <v>2</v>
      </c>
      <c r="X69" t="s">
        <v>219</v>
      </c>
      <c r="Y69" s="14">
        <v>2</v>
      </c>
      <c r="AA69">
        <v>1</v>
      </c>
      <c r="AB69" s="8" t="s">
        <v>787</v>
      </c>
      <c r="AC69" s="14">
        <v>2</v>
      </c>
      <c r="AD69" t="s">
        <v>219</v>
      </c>
      <c r="AE69" s="14">
        <v>2</v>
      </c>
      <c r="AF69" t="s">
        <v>219</v>
      </c>
      <c r="AG69">
        <v>2</v>
      </c>
      <c r="AH69" s="8" t="s">
        <v>788</v>
      </c>
      <c r="AI69">
        <v>2</v>
      </c>
      <c r="AJ69" t="s">
        <v>789</v>
      </c>
      <c r="AK69">
        <v>0</v>
      </c>
      <c r="AL69" s="8" t="s">
        <v>790</v>
      </c>
      <c r="AM69" s="14">
        <v>2</v>
      </c>
      <c r="AO69">
        <v>2</v>
      </c>
      <c r="AQ69">
        <v>2</v>
      </c>
      <c r="AS69">
        <v>2</v>
      </c>
      <c r="AU69">
        <v>2</v>
      </c>
      <c r="AW69" s="1">
        <f t="shared" si="1"/>
        <v>25</v>
      </c>
    </row>
    <row r="70" spans="1:49" ht="18.95" customHeight="1" x14ac:dyDescent="0.25">
      <c r="A70" t="s">
        <v>36</v>
      </c>
      <c r="B70" t="s">
        <v>374</v>
      </c>
      <c r="C70" t="s">
        <v>791</v>
      </c>
      <c r="D70" t="s">
        <v>792</v>
      </c>
      <c r="E70" t="b">
        <v>0</v>
      </c>
      <c r="F70">
        <v>1019569</v>
      </c>
      <c r="G70" t="s">
        <v>793</v>
      </c>
      <c r="H70" t="s">
        <v>794</v>
      </c>
      <c r="I70" t="s">
        <v>67</v>
      </c>
      <c r="J70" t="s">
        <v>43</v>
      </c>
      <c r="K70" t="s">
        <v>795</v>
      </c>
      <c r="L70" t="s">
        <v>101</v>
      </c>
      <c r="M70" t="s">
        <v>381</v>
      </c>
      <c r="N70" t="s">
        <v>47</v>
      </c>
      <c r="O70">
        <v>849210</v>
      </c>
      <c r="P70" t="s">
        <v>48</v>
      </c>
      <c r="Q70" t="s">
        <v>49</v>
      </c>
      <c r="R70" t="s">
        <v>71</v>
      </c>
      <c r="S70">
        <v>4</v>
      </c>
      <c r="T70" t="s">
        <v>72</v>
      </c>
      <c r="U70">
        <v>2</v>
      </c>
      <c r="V70" s="8" t="s">
        <v>796</v>
      </c>
      <c r="W70" s="14">
        <v>2</v>
      </c>
      <c r="X70" t="s">
        <v>219</v>
      </c>
      <c r="Y70" s="14">
        <v>2</v>
      </c>
      <c r="AA70">
        <v>2</v>
      </c>
      <c r="AB70" t="s">
        <v>797</v>
      </c>
      <c r="AC70" s="14">
        <v>2</v>
      </c>
      <c r="AD70" t="s">
        <v>219</v>
      </c>
      <c r="AE70" s="14">
        <v>2</v>
      </c>
      <c r="AF70" t="s">
        <v>219</v>
      </c>
      <c r="AG70">
        <v>2</v>
      </c>
      <c r="AH70" s="8" t="s">
        <v>798</v>
      </c>
      <c r="AI70">
        <v>1</v>
      </c>
      <c r="AJ70" s="8" t="s">
        <v>799</v>
      </c>
      <c r="AK70">
        <v>2</v>
      </c>
      <c r="AL70" s="8" t="s">
        <v>800</v>
      </c>
      <c r="AM70" s="14">
        <v>2</v>
      </c>
      <c r="AO70">
        <v>2</v>
      </c>
      <c r="AQ70">
        <v>2</v>
      </c>
      <c r="AS70">
        <v>2</v>
      </c>
      <c r="AU70">
        <v>2</v>
      </c>
      <c r="AW70" s="1">
        <f t="shared" si="1"/>
        <v>27</v>
      </c>
    </row>
    <row r="71" spans="1:49" ht="15.95" customHeight="1" x14ac:dyDescent="0.25">
      <c r="A71" t="s">
        <v>36</v>
      </c>
      <c r="B71" t="s">
        <v>37</v>
      </c>
      <c r="C71" t="s">
        <v>801</v>
      </c>
      <c r="D71" t="s">
        <v>802</v>
      </c>
      <c r="E71" t="b">
        <v>0</v>
      </c>
      <c r="F71">
        <v>3766</v>
      </c>
      <c r="G71" t="s">
        <v>803</v>
      </c>
      <c r="H71" t="s">
        <v>804</v>
      </c>
      <c r="I71" t="s">
        <v>42</v>
      </c>
      <c r="J71" t="s">
        <v>43</v>
      </c>
      <c r="K71" t="s">
        <v>805</v>
      </c>
      <c r="L71" t="s">
        <v>806</v>
      </c>
      <c r="M71" t="s">
        <v>156</v>
      </c>
      <c r="N71" t="s">
        <v>47</v>
      </c>
      <c r="O71">
        <v>6</v>
      </c>
      <c r="P71" t="s">
        <v>48</v>
      </c>
      <c r="Q71" t="s">
        <v>49</v>
      </c>
      <c r="R71" t="s">
        <v>50</v>
      </c>
      <c r="S71" t="s">
        <v>51</v>
      </c>
      <c r="T71" t="s">
        <v>52</v>
      </c>
      <c r="U71">
        <v>2</v>
      </c>
      <c r="V71" s="8" t="s">
        <v>807</v>
      </c>
      <c r="W71">
        <v>1</v>
      </c>
      <c r="X71" s="8" t="s">
        <v>808</v>
      </c>
      <c r="Y71">
        <v>2</v>
      </c>
      <c r="Z71" t="s">
        <v>438</v>
      </c>
      <c r="AA71">
        <v>1</v>
      </c>
      <c r="AB71" s="8" t="s">
        <v>809</v>
      </c>
      <c r="AC71">
        <v>2</v>
      </c>
      <c r="AD71" s="8" t="s">
        <v>810</v>
      </c>
      <c r="AE71">
        <v>2</v>
      </c>
      <c r="AF71" t="s">
        <v>438</v>
      </c>
      <c r="AG71">
        <v>0</v>
      </c>
      <c r="AI71">
        <v>1</v>
      </c>
      <c r="AJ71" s="8" t="s">
        <v>811</v>
      </c>
      <c r="AK71">
        <v>2</v>
      </c>
      <c r="AL71" s="8" t="s">
        <v>812</v>
      </c>
      <c r="AM71">
        <v>2</v>
      </c>
      <c r="AN71" t="s">
        <v>438</v>
      </c>
      <c r="AO71">
        <v>2</v>
      </c>
      <c r="AP71" t="s">
        <v>438</v>
      </c>
      <c r="AQ71">
        <v>2</v>
      </c>
      <c r="AR71" t="s">
        <v>438</v>
      </c>
      <c r="AS71">
        <v>2</v>
      </c>
      <c r="AT71" s="8" t="s">
        <v>813</v>
      </c>
      <c r="AU71">
        <v>2</v>
      </c>
      <c r="AV71" t="s">
        <v>438</v>
      </c>
      <c r="AW71" s="1">
        <f t="shared" si="1"/>
        <v>23</v>
      </c>
    </row>
    <row r="72" spans="1:49" ht="17.100000000000001" customHeight="1" x14ac:dyDescent="0.25">
      <c r="A72" t="s">
        <v>36</v>
      </c>
      <c r="B72" t="s">
        <v>95</v>
      </c>
      <c r="C72" t="s">
        <v>814</v>
      </c>
      <c r="D72" t="s">
        <v>814</v>
      </c>
      <c r="E72" t="b">
        <v>0</v>
      </c>
      <c r="F72">
        <v>1966898</v>
      </c>
      <c r="G72" t="s">
        <v>815</v>
      </c>
      <c r="H72" t="s">
        <v>816</v>
      </c>
      <c r="I72" t="s">
        <v>67</v>
      </c>
      <c r="J72" t="s">
        <v>43</v>
      </c>
      <c r="K72" t="s">
        <v>817</v>
      </c>
      <c r="L72" t="s">
        <v>101</v>
      </c>
      <c r="M72" t="s">
        <v>102</v>
      </c>
      <c r="N72" t="s">
        <v>47</v>
      </c>
      <c r="O72">
        <v>1489043</v>
      </c>
      <c r="P72" t="s">
        <v>48</v>
      </c>
      <c r="Q72" t="s">
        <v>49</v>
      </c>
      <c r="R72" t="s">
        <v>71</v>
      </c>
      <c r="S72" t="s">
        <v>51</v>
      </c>
      <c r="T72" t="s">
        <v>818</v>
      </c>
      <c r="U72">
        <v>2</v>
      </c>
      <c r="V72" s="8" t="s">
        <v>819</v>
      </c>
      <c r="W72">
        <v>2</v>
      </c>
      <c r="X72" t="s">
        <v>820</v>
      </c>
      <c r="Y72">
        <v>2</v>
      </c>
      <c r="Z72" t="s">
        <v>820</v>
      </c>
      <c r="AA72">
        <v>1</v>
      </c>
      <c r="AB72" s="8" t="s">
        <v>821</v>
      </c>
      <c r="AC72">
        <v>2</v>
      </c>
      <c r="AD72" t="s">
        <v>820</v>
      </c>
      <c r="AE72">
        <v>2</v>
      </c>
      <c r="AF72" t="s">
        <v>820</v>
      </c>
      <c r="AG72">
        <v>0</v>
      </c>
      <c r="AI72">
        <v>0</v>
      </c>
      <c r="AK72">
        <v>0</v>
      </c>
      <c r="AM72">
        <v>2</v>
      </c>
      <c r="AN72" t="s">
        <v>820</v>
      </c>
      <c r="AO72">
        <v>2</v>
      </c>
      <c r="AP72" t="s">
        <v>820</v>
      </c>
      <c r="AQ72">
        <v>2</v>
      </c>
      <c r="AR72" t="s">
        <v>820</v>
      </c>
      <c r="AS72">
        <v>2</v>
      </c>
      <c r="AT72" t="s">
        <v>820</v>
      </c>
      <c r="AU72">
        <v>2</v>
      </c>
      <c r="AV72" t="s">
        <v>820</v>
      </c>
      <c r="AW72" s="1">
        <f t="shared" ref="AW72:AW108" si="2">SUM(U72:AU72)</f>
        <v>21</v>
      </c>
    </row>
    <row r="73" spans="1:49" ht="18" customHeight="1" x14ac:dyDescent="0.25">
      <c r="A73" t="s">
        <v>36</v>
      </c>
      <c r="B73" t="s">
        <v>461</v>
      </c>
      <c r="C73" t="s">
        <v>822</v>
      </c>
      <c r="D73" t="s">
        <v>822</v>
      </c>
      <c r="E73" t="b">
        <v>0</v>
      </c>
      <c r="F73">
        <v>63340</v>
      </c>
      <c r="G73" t="s">
        <v>823</v>
      </c>
      <c r="H73" t="s">
        <v>824</v>
      </c>
      <c r="I73" t="s">
        <v>42</v>
      </c>
      <c r="J73" t="s">
        <v>43</v>
      </c>
      <c r="K73" t="s">
        <v>825</v>
      </c>
      <c r="L73" t="s">
        <v>826</v>
      </c>
      <c r="M73" t="s">
        <v>156</v>
      </c>
      <c r="N73" t="s">
        <v>47</v>
      </c>
      <c r="O73">
        <v>63340</v>
      </c>
      <c r="P73" t="s">
        <v>48</v>
      </c>
      <c r="Q73" t="s">
        <v>49</v>
      </c>
      <c r="R73" t="s">
        <v>71</v>
      </c>
      <c r="S73">
        <v>3</v>
      </c>
      <c r="T73" t="s">
        <v>72</v>
      </c>
      <c r="U73">
        <v>2</v>
      </c>
      <c r="V73" s="8" t="s">
        <v>827</v>
      </c>
      <c r="W73" s="14">
        <v>2</v>
      </c>
      <c r="X73" t="s">
        <v>219</v>
      </c>
      <c r="Y73" s="14">
        <v>2</v>
      </c>
      <c r="AA73">
        <v>0</v>
      </c>
      <c r="AC73" s="14">
        <v>2</v>
      </c>
      <c r="AD73" t="s">
        <v>219</v>
      </c>
      <c r="AE73" s="14">
        <v>2</v>
      </c>
      <c r="AF73" t="s">
        <v>219</v>
      </c>
      <c r="AG73">
        <v>2</v>
      </c>
      <c r="AH73" s="8" t="s">
        <v>828</v>
      </c>
      <c r="AI73">
        <v>0</v>
      </c>
      <c r="AK73">
        <v>0</v>
      </c>
      <c r="AL73" s="8" t="s">
        <v>468</v>
      </c>
      <c r="AM73" s="14">
        <v>2</v>
      </c>
      <c r="AO73">
        <v>2</v>
      </c>
      <c r="AQ73">
        <v>2</v>
      </c>
      <c r="AS73">
        <v>2</v>
      </c>
      <c r="AU73">
        <v>2</v>
      </c>
      <c r="AW73" s="1">
        <f t="shared" si="2"/>
        <v>22</v>
      </c>
    </row>
    <row r="74" spans="1:49" ht="12.95" customHeight="1" x14ac:dyDescent="0.25">
      <c r="A74" t="s">
        <v>36</v>
      </c>
      <c r="B74" t="s">
        <v>461</v>
      </c>
      <c r="C74" t="s">
        <v>829</v>
      </c>
      <c r="D74" t="s">
        <v>830</v>
      </c>
      <c r="E74" t="b">
        <v>0</v>
      </c>
      <c r="F74">
        <v>28883</v>
      </c>
      <c r="G74" t="s">
        <v>831</v>
      </c>
      <c r="H74" t="s">
        <v>832</v>
      </c>
      <c r="I74" t="s">
        <v>42</v>
      </c>
      <c r="J74" t="s">
        <v>43</v>
      </c>
      <c r="K74" t="s">
        <v>833</v>
      </c>
      <c r="L74" t="s">
        <v>101</v>
      </c>
      <c r="M74" t="s">
        <v>156</v>
      </c>
      <c r="N74" t="s">
        <v>47</v>
      </c>
      <c r="O74">
        <v>95</v>
      </c>
      <c r="P74" t="s">
        <v>48</v>
      </c>
      <c r="Q74" t="s">
        <v>49</v>
      </c>
      <c r="R74" t="s">
        <v>50</v>
      </c>
      <c r="S74" t="s">
        <v>51</v>
      </c>
      <c r="T74" t="s">
        <v>52</v>
      </c>
      <c r="U74">
        <v>0</v>
      </c>
      <c r="W74">
        <v>0</v>
      </c>
      <c r="Y74">
        <v>1</v>
      </c>
      <c r="Z74" t="s">
        <v>834</v>
      </c>
      <c r="AA74">
        <v>0</v>
      </c>
      <c r="AC74">
        <v>2</v>
      </c>
      <c r="AD74" s="8" t="s">
        <v>835</v>
      </c>
      <c r="AE74">
        <v>0</v>
      </c>
      <c r="AG74">
        <v>0</v>
      </c>
      <c r="AI74">
        <v>0</v>
      </c>
      <c r="AK74">
        <v>0</v>
      </c>
      <c r="AM74">
        <v>1</v>
      </c>
      <c r="AN74" t="s">
        <v>836</v>
      </c>
      <c r="AO74">
        <v>2</v>
      </c>
      <c r="AP74" t="s">
        <v>820</v>
      </c>
      <c r="AQ74">
        <v>2</v>
      </c>
      <c r="AR74" t="s">
        <v>820</v>
      </c>
      <c r="AS74">
        <v>0</v>
      </c>
      <c r="AU74">
        <v>2</v>
      </c>
      <c r="AV74" t="s">
        <v>820</v>
      </c>
      <c r="AW74" s="1">
        <f t="shared" si="2"/>
        <v>10</v>
      </c>
    </row>
    <row r="75" spans="1:49" ht="17.100000000000001" customHeight="1" x14ac:dyDescent="0.25">
      <c r="A75" t="s">
        <v>36</v>
      </c>
      <c r="B75" t="s">
        <v>374</v>
      </c>
      <c r="C75" t="s">
        <v>307</v>
      </c>
      <c r="D75" t="s">
        <v>376</v>
      </c>
      <c r="E75" t="b">
        <v>0</v>
      </c>
      <c r="F75">
        <v>477432</v>
      </c>
      <c r="G75" t="s">
        <v>837</v>
      </c>
      <c r="H75" t="s">
        <v>838</v>
      </c>
      <c r="I75" t="s">
        <v>67</v>
      </c>
      <c r="J75" t="s">
        <v>43</v>
      </c>
      <c r="K75" t="s">
        <v>839</v>
      </c>
      <c r="L75" t="s">
        <v>840</v>
      </c>
      <c r="M75" t="s">
        <v>381</v>
      </c>
      <c r="N75" t="s">
        <v>47</v>
      </c>
      <c r="O75">
        <v>348240</v>
      </c>
      <c r="P75" t="s">
        <v>48</v>
      </c>
      <c r="Q75" t="s">
        <v>49</v>
      </c>
      <c r="R75" t="s">
        <v>71</v>
      </c>
      <c r="S75">
        <v>3</v>
      </c>
      <c r="T75" t="s">
        <v>72</v>
      </c>
      <c r="U75">
        <v>2</v>
      </c>
      <c r="V75" s="8" t="s">
        <v>841</v>
      </c>
      <c r="W75" s="14">
        <v>2</v>
      </c>
      <c r="X75" t="s">
        <v>219</v>
      </c>
      <c r="Y75" s="14">
        <v>2</v>
      </c>
      <c r="AA75">
        <v>2</v>
      </c>
      <c r="AB75" s="8" t="s">
        <v>842</v>
      </c>
      <c r="AC75" s="14">
        <v>2</v>
      </c>
      <c r="AD75" t="s">
        <v>219</v>
      </c>
      <c r="AE75" s="14">
        <v>2</v>
      </c>
      <c r="AF75" t="s">
        <v>219</v>
      </c>
      <c r="AG75">
        <v>2</v>
      </c>
      <c r="AH75" s="8" t="s">
        <v>843</v>
      </c>
      <c r="AI75">
        <v>2</v>
      </c>
      <c r="AJ75" t="s">
        <v>844</v>
      </c>
      <c r="AK75">
        <v>2</v>
      </c>
      <c r="AL75" t="s">
        <v>845</v>
      </c>
      <c r="AM75" s="14">
        <v>2</v>
      </c>
      <c r="AO75">
        <v>2</v>
      </c>
      <c r="AQ75">
        <v>2</v>
      </c>
      <c r="AS75">
        <v>2</v>
      </c>
      <c r="AU75">
        <v>2</v>
      </c>
      <c r="AW75" s="1">
        <f t="shared" si="2"/>
        <v>28</v>
      </c>
    </row>
    <row r="76" spans="1:49" ht="21" customHeight="1" x14ac:dyDescent="0.25">
      <c r="A76" t="s">
        <v>36</v>
      </c>
      <c r="B76" t="s">
        <v>461</v>
      </c>
      <c r="C76" t="s">
        <v>846</v>
      </c>
      <c r="D76" t="s">
        <v>847</v>
      </c>
      <c r="E76" t="b">
        <v>0</v>
      </c>
      <c r="F76">
        <v>111338</v>
      </c>
      <c r="G76" t="s">
        <v>848</v>
      </c>
      <c r="H76" t="s">
        <v>849</v>
      </c>
      <c r="I76" t="s">
        <v>42</v>
      </c>
      <c r="J76" t="s">
        <v>43</v>
      </c>
      <c r="K76" t="s">
        <v>850</v>
      </c>
      <c r="L76" t="s">
        <v>851</v>
      </c>
      <c r="M76" t="s">
        <v>156</v>
      </c>
      <c r="N76" t="s">
        <v>47</v>
      </c>
      <c r="O76">
        <v>94925</v>
      </c>
      <c r="P76" t="s">
        <v>48</v>
      </c>
      <c r="Q76" t="s">
        <v>49</v>
      </c>
      <c r="R76" t="s">
        <v>71</v>
      </c>
      <c r="S76">
        <v>3</v>
      </c>
      <c r="T76" t="s">
        <v>72</v>
      </c>
      <c r="U76">
        <v>1</v>
      </c>
      <c r="V76" s="8" t="s">
        <v>852</v>
      </c>
      <c r="W76" s="14">
        <v>2</v>
      </c>
      <c r="X76" t="s">
        <v>219</v>
      </c>
      <c r="Y76" s="14">
        <v>2</v>
      </c>
      <c r="AA76">
        <v>0</v>
      </c>
      <c r="AC76" s="14">
        <v>2</v>
      </c>
      <c r="AD76" t="s">
        <v>219</v>
      </c>
      <c r="AE76" s="14">
        <v>2</v>
      </c>
      <c r="AF76" t="s">
        <v>219</v>
      </c>
      <c r="AG76">
        <v>1</v>
      </c>
      <c r="AH76" t="s">
        <v>853</v>
      </c>
      <c r="AI76">
        <v>2</v>
      </c>
      <c r="AJ76" t="s">
        <v>854</v>
      </c>
      <c r="AK76">
        <v>2</v>
      </c>
      <c r="AL76" s="8" t="s">
        <v>468</v>
      </c>
      <c r="AM76" s="14">
        <v>2</v>
      </c>
      <c r="AO76">
        <v>2</v>
      </c>
      <c r="AQ76">
        <v>2</v>
      </c>
      <c r="AS76">
        <v>2</v>
      </c>
      <c r="AU76">
        <v>2</v>
      </c>
      <c r="AW76" s="1">
        <f t="shared" si="2"/>
        <v>24</v>
      </c>
    </row>
    <row r="77" spans="1:49" ht="15.95" customHeight="1" x14ac:dyDescent="0.25">
      <c r="A77" t="s">
        <v>36</v>
      </c>
      <c r="B77" t="s">
        <v>253</v>
      </c>
      <c r="C77" t="s">
        <v>855</v>
      </c>
      <c r="D77" t="s">
        <v>856</v>
      </c>
      <c r="E77" t="b">
        <v>0</v>
      </c>
      <c r="F77">
        <v>22104</v>
      </c>
      <c r="G77" t="s">
        <v>857</v>
      </c>
      <c r="H77" t="s">
        <v>858</v>
      </c>
      <c r="I77" t="s">
        <v>42</v>
      </c>
      <c r="J77" t="s">
        <v>43</v>
      </c>
      <c r="K77" t="s">
        <v>859</v>
      </c>
      <c r="L77" t="s">
        <v>217</v>
      </c>
      <c r="M77" t="s">
        <v>277</v>
      </c>
      <c r="N77" t="s">
        <v>47</v>
      </c>
      <c r="O77">
        <v>21154</v>
      </c>
      <c r="P77" t="s">
        <v>48</v>
      </c>
      <c r="Q77" t="s">
        <v>49</v>
      </c>
      <c r="R77" t="s">
        <v>50</v>
      </c>
      <c r="S77">
        <v>5</v>
      </c>
      <c r="T77" t="s">
        <v>72</v>
      </c>
      <c r="U77">
        <v>1</v>
      </c>
      <c r="V77" s="8" t="s">
        <v>860</v>
      </c>
      <c r="W77" s="14">
        <v>2</v>
      </c>
      <c r="X77" t="s">
        <v>219</v>
      </c>
      <c r="Y77" s="14">
        <v>2</v>
      </c>
      <c r="AA77">
        <v>1</v>
      </c>
      <c r="AB77" s="8" t="s">
        <v>861</v>
      </c>
      <c r="AC77" s="14">
        <v>2</v>
      </c>
      <c r="AD77" t="s">
        <v>219</v>
      </c>
      <c r="AE77" s="14">
        <v>2</v>
      </c>
      <c r="AF77" t="s">
        <v>219</v>
      </c>
      <c r="AG77">
        <v>0</v>
      </c>
      <c r="AI77">
        <v>1</v>
      </c>
      <c r="AJ77" t="s">
        <v>862</v>
      </c>
      <c r="AK77" s="8">
        <v>2</v>
      </c>
      <c r="AL77" s="8" t="s">
        <v>863</v>
      </c>
      <c r="AM77" s="14">
        <v>2</v>
      </c>
      <c r="AO77">
        <v>2</v>
      </c>
      <c r="AQ77">
        <v>2</v>
      </c>
      <c r="AS77">
        <v>2</v>
      </c>
      <c r="AU77">
        <v>2</v>
      </c>
      <c r="AW77" s="1">
        <f t="shared" si="2"/>
        <v>23</v>
      </c>
    </row>
    <row r="78" spans="1:49" ht="17.100000000000001" customHeight="1" x14ac:dyDescent="0.25">
      <c r="A78" t="s">
        <v>36</v>
      </c>
      <c r="B78" t="s">
        <v>374</v>
      </c>
      <c r="C78" t="s">
        <v>864</v>
      </c>
      <c r="D78" t="s">
        <v>865</v>
      </c>
      <c r="E78" t="b">
        <v>0</v>
      </c>
      <c r="F78">
        <v>567286</v>
      </c>
      <c r="G78" t="s">
        <v>866</v>
      </c>
      <c r="H78" t="s">
        <v>867</v>
      </c>
      <c r="I78" t="s">
        <v>67</v>
      </c>
      <c r="J78" t="s">
        <v>43</v>
      </c>
      <c r="K78" t="s">
        <v>868</v>
      </c>
      <c r="L78" t="s">
        <v>101</v>
      </c>
      <c r="M78" t="s">
        <v>381</v>
      </c>
      <c r="N78" t="s">
        <v>47</v>
      </c>
      <c r="O78">
        <v>474706</v>
      </c>
      <c r="P78" t="s">
        <v>48</v>
      </c>
      <c r="Q78" t="s">
        <v>49</v>
      </c>
      <c r="R78" t="s">
        <v>71</v>
      </c>
      <c r="S78">
        <v>4</v>
      </c>
      <c r="T78" t="s">
        <v>72</v>
      </c>
      <c r="U78">
        <v>2</v>
      </c>
      <c r="V78" s="8" t="s">
        <v>841</v>
      </c>
      <c r="W78" s="14">
        <v>2</v>
      </c>
      <c r="X78" t="s">
        <v>219</v>
      </c>
      <c r="Y78" s="14">
        <v>2</v>
      </c>
      <c r="AA78">
        <v>2</v>
      </c>
      <c r="AB78" s="8" t="s">
        <v>869</v>
      </c>
      <c r="AC78" s="14">
        <v>2</v>
      </c>
      <c r="AD78" t="s">
        <v>219</v>
      </c>
      <c r="AE78" s="14">
        <v>2</v>
      </c>
      <c r="AF78" t="s">
        <v>219</v>
      </c>
      <c r="AG78">
        <v>2</v>
      </c>
      <c r="AH78" s="8" t="s">
        <v>870</v>
      </c>
      <c r="AI78">
        <v>2</v>
      </c>
      <c r="AJ78" t="s">
        <v>871</v>
      </c>
      <c r="AK78">
        <v>2</v>
      </c>
      <c r="AL78" t="s">
        <v>450</v>
      </c>
      <c r="AM78" s="14">
        <v>2</v>
      </c>
      <c r="AO78">
        <v>2</v>
      </c>
      <c r="AQ78">
        <v>2</v>
      </c>
      <c r="AS78">
        <v>2</v>
      </c>
      <c r="AU78">
        <v>2</v>
      </c>
      <c r="AW78" s="1">
        <f t="shared" si="2"/>
        <v>28</v>
      </c>
    </row>
    <row r="79" spans="1:49" ht="21.95" customHeight="1" x14ac:dyDescent="0.25">
      <c r="A79" t="s">
        <v>36</v>
      </c>
      <c r="B79" t="s">
        <v>167</v>
      </c>
      <c r="C79" t="s">
        <v>872</v>
      </c>
      <c r="D79" t="s">
        <v>872</v>
      </c>
      <c r="E79" t="b">
        <v>0</v>
      </c>
      <c r="F79">
        <v>25819</v>
      </c>
      <c r="G79" t="s">
        <v>873</v>
      </c>
      <c r="H79" t="s">
        <v>874</v>
      </c>
      <c r="I79" t="s">
        <v>42</v>
      </c>
      <c r="J79" t="s">
        <v>43</v>
      </c>
      <c r="K79" t="s">
        <v>875</v>
      </c>
      <c r="L79" t="s">
        <v>217</v>
      </c>
      <c r="M79" t="s">
        <v>299</v>
      </c>
      <c r="N79" t="s">
        <v>47</v>
      </c>
      <c r="O79">
        <v>25819</v>
      </c>
      <c r="P79" t="s">
        <v>48</v>
      </c>
      <c r="Q79" t="s">
        <v>49</v>
      </c>
      <c r="R79" t="s">
        <v>50</v>
      </c>
      <c r="S79">
        <v>5</v>
      </c>
      <c r="T79" t="s">
        <v>72</v>
      </c>
      <c r="U79">
        <v>1</v>
      </c>
      <c r="V79" s="8" t="s">
        <v>876</v>
      </c>
      <c r="W79" s="14">
        <v>2</v>
      </c>
      <c r="X79" t="s">
        <v>301</v>
      </c>
      <c r="Y79" s="14">
        <v>2</v>
      </c>
      <c r="AA79">
        <v>2</v>
      </c>
      <c r="AB79" s="8" t="s">
        <v>877</v>
      </c>
      <c r="AC79">
        <v>0</v>
      </c>
      <c r="AE79" s="14">
        <v>1</v>
      </c>
      <c r="AF79" s="8" t="s">
        <v>878</v>
      </c>
      <c r="AG79">
        <v>0</v>
      </c>
      <c r="AI79">
        <v>1</v>
      </c>
      <c r="AJ79" s="8" t="s">
        <v>879</v>
      </c>
      <c r="AK79">
        <v>2</v>
      </c>
      <c r="AL79" s="8" t="s">
        <v>880</v>
      </c>
      <c r="AM79" s="14">
        <v>2</v>
      </c>
      <c r="AO79">
        <v>2</v>
      </c>
      <c r="AQ79">
        <v>2</v>
      </c>
      <c r="AS79">
        <v>2</v>
      </c>
      <c r="AU79">
        <v>2</v>
      </c>
      <c r="AW79" s="1">
        <f t="shared" si="2"/>
        <v>21</v>
      </c>
    </row>
    <row r="80" spans="1:49" ht="14.1" customHeight="1" x14ac:dyDescent="0.25">
      <c r="A80" t="s">
        <v>36</v>
      </c>
      <c r="B80" t="s">
        <v>62</v>
      </c>
      <c r="C80" t="s">
        <v>881</v>
      </c>
      <c r="D80" t="s">
        <v>881</v>
      </c>
      <c r="E80" t="b">
        <v>0</v>
      </c>
      <c r="F80">
        <v>267008</v>
      </c>
      <c r="G80" t="s">
        <v>882</v>
      </c>
      <c r="H80" t="s">
        <v>883</v>
      </c>
      <c r="I80" t="s">
        <v>42</v>
      </c>
      <c r="J80" t="s">
        <v>43</v>
      </c>
      <c r="K80" t="s">
        <v>884</v>
      </c>
      <c r="L80" t="s">
        <v>276</v>
      </c>
      <c r="M80" t="s">
        <v>299</v>
      </c>
      <c r="N80" t="s">
        <v>47</v>
      </c>
      <c r="O80">
        <v>261214</v>
      </c>
      <c r="P80" t="s">
        <v>48</v>
      </c>
      <c r="Q80" t="s">
        <v>49</v>
      </c>
      <c r="R80" t="s">
        <v>50</v>
      </c>
      <c r="S80" t="s">
        <v>51</v>
      </c>
      <c r="T80" t="s">
        <v>52</v>
      </c>
      <c r="U80">
        <v>0</v>
      </c>
      <c r="W80">
        <v>0</v>
      </c>
      <c r="Y80">
        <v>2</v>
      </c>
      <c r="Z80" s="8" t="s">
        <v>885</v>
      </c>
      <c r="AA80">
        <v>1</v>
      </c>
      <c r="AB80" t="s">
        <v>886</v>
      </c>
      <c r="AC80">
        <v>1</v>
      </c>
      <c r="AD80" t="s">
        <v>887</v>
      </c>
      <c r="AE80">
        <v>0</v>
      </c>
      <c r="AG80">
        <v>0</v>
      </c>
      <c r="AI80">
        <v>2</v>
      </c>
      <c r="AJ80" s="8" t="s">
        <v>888</v>
      </c>
      <c r="AK80">
        <v>0</v>
      </c>
      <c r="AM80">
        <v>2</v>
      </c>
      <c r="AN80" t="s">
        <v>889</v>
      </c>
      <c r="AO80">
        <v>2</v>
      </c>
      <c r="AP80" t="s">
        <v>820</v>
      </c>
      <c r="AQ80">
        <v>2</v>
      </c>
      <c r="AR80" t="s">
        <v>820</v>
      </c>
      <c r="AS80">
        <v>0</v>
      </c>
      <c r="AU80">
        <v>2</v>
      </c>
      <c r="AV80" t="s">
        <v>820</v>
      </c>
      <c r="AW80" s="1">
        <f t="shared" si="2"/>
        <v>14</v>
      </c>
    </row>
    <row r="81" spans="1:49" ht="18.95" customHeight="1" x14ac:dyDescent="0.25">
      <c r="A81" t="s">
        <v>36</v>
      </c>
      <c r="B81" t="s">
        <v>461</v>
      </c>
      <c r="C81" t="s">
        <v>890</v>
      </c>
      <c r="D81" t="s">
        <v>890</v>
      </c>
      <c r="E81" t="b">
        <v>0</v>
      </c>
      <c r="F81">
        <v>83348</v>
      </c>
      <c r="G81" t="s">
        <v>891</v>
      </c>
      <c r="H81" t="s">
        <v>892</v>
      </c>
      <c r="I81" t="s">
        <v>42</v>
      </c>
      <c r="J81" t="s">
        <v>43</v>
      </c>
      <c r="K81" t="s">
        <v>893</v>
      </c>
      <c r="L81" t="s">
        <v>894</v>
      </c>
      <c r="M81" t="s">
        <v>156</v>
      </c>
      <c r="N81" t="s">
        <v>47</v>
      </c>
      <c r="O81">
        <v>83348</v>
      </c>
      <c r="P81" t="s">
        <v>48</v>
      </c>
      <c r="Q81" t="s">
        <v>49</v>
      </c>
      <c r="R81" t="s">
        <v>50</v>
      </c>
      <c r="S81">
        <v>3</v>
      </c>
      <c r="T81" t="s">
        <v>72</v>
      </c>
      <c r="U81">
        <v>1</v>
      </c>
      <c r="V81" s="8" t="s">
        <v>895</v>
      </c>
      <c r="W81" s="14">
        <v>2</v>
      </c>
      <c r="X81" t="s">
        <v>301</v>
      </c>
      <c r="Y81" s="14">
        <v>2</v>
      </c>
      <c r="AA81">
        <v>0</v>
      </c>
      <c r="AC81" s="14">
        <v>2</v>
      </c>
      <c r="AD81" t="s">
        <v>301</v>
      </c>
      <c r="AE81" s="14">
        <v>2</v>
      </c>
      <c r="AF81" t="s">
        <v>301</v>
      </c>
      <c r="AG81">
        <v>1</v>
      </c>
      <c r="AH81" t="s">
        <v>896</v>
      </c>
      <c r="AI81">
        <v>0</v>
      </c>
      <c r="AK81">
        <v>0</v>
      </c>
      <c r="AM81" s="14">
        <v>2</v>
      </c>
      <c r="AO81">
        <v>2</v>
      </c>
      <c r="AQ81">
        <v>2</v>
      </c>
      <c r="AS81">
        <v>2</v>
      </c>
      <c r="AU81">
        <v>2</v>
      </c>
      <c r="AW81" s="1">
        <f t="shared" si="2"/>
        <v>20</v>
      </c>
    </row>
    <row r="82" spans="1:49" ht="21.95" customHeight="1" x14ac:dyDescent="0.25">
      <c r="A82" t="s">
        <v>36</v>
      </c>
      <c r="B82" t="s">
        <v>374</v>
      </c>
      <c r="C82" t="s">
        <v>897</v>
      </c>
      <c r="D82" t="s">
        <v>897</v>
      </c>
      <c r="E82" t="b">
        <v>0</v>
      </c>
      <c r="F82">
        <v>12891</v>
      </c>
      <c r="G82" t="s">
        <v>898</v>
      </c>
      <c r="H82" t="s">
        <v>899</v>
      </c>
      <c r="I82" t="s">
        <v>42</v>
      </c>
      <c r="J82" t="s">
        <v>43</v>
      </c>
      <c r="K82" t="s">
        <v>900</v>
      </c>
      <c r="L82" t="s">
        <v>101</v>
      </c>
      <c r="M82" t="s">
        <v>901</v>
      </c>
      <c r="N82" t="s">
        <v>47</v>
      </c>
      <c r="O82">
        <v>10894</v>
      </c>
      <c r="P82" t="s">
        <v>48</v>
      </c>
      <c r="Q82" t="s">
        <v>49</v>
      </c>
      <c r="R82" t="s">
        <v>71</v>
      </c>
      <c r="S82">
        <v>3</v>
      </c>
      <c r="T82" t="s">
        <v>72</v>
      </c>
      <c r="U82">
        <v>1</v>
      </c>
      <c r="V82" t="s">
        <v>902</v>
      </c>
      <c r="W82" s="14">
        <v>2</v>
      </c>
      <c r="X82" t="s">
        <v>219</v>
      </c>
      <c r="Y82" s="14">
        <v>2</v>
      </c>
      <c r="AA82">
        <v>1</v>
      </c>
      <c r="AB82" s="8" t="s">
        <v>903</v>
      </c>
      <c r="AC82" s="14">
        <v>2</v>
      </c>
      <c r="AD82" t="s">
        <v>219</v>
      </c>
      <c r="AE82" s="14">
        <v>2</v>
      </c>
      <c r="AF82" t="s">
        <v>219</v>
      </c>
      <c r="AG82">
        <v>1</v>
      </c>
      <c r="AH82" s="8" t="s">
        <v>904</v>
      </c>
      <c r="AI82">
        <v>1</v>
      </c>
      <c r="AJ82" t="s">
        <v>905</v>
      </c>
      <c r="AK82">
        <v>0</v>
      </c>
      <c r="AM82" s="14">
        <v>2</v>
      </c>
      <c r="AO82">
        <v>2</v>
      </c>
      <c r="AQ82">
        <v>2</v>
      </c>
      <c r="AS82">
        <v>2</v>
      </c>
      <c r="AU82">
        <v>2</v>
      </c>
      <c r="AW82" s="1">
        <f>SUM(U82:AU82)</f>
        <v>22</v>
      </c>
    </row>
    <row r="83" spans="1:49" ht="18.95" customHeight="1" x14ac:dyDescent="0.25">
      <c r="A83" t="s">
        <v>36</v>
      </c>
      <c r="B83" t="s">
        <v>95</v>
      </c>
      <c r="C83" t="s">
        <v>906</v>
      </c>
      <c r="D83" t="s">
        <v>906</v>
      </c>
      <c r="E83" t="b">
        <v>0</v>
      </c>
      <c r="F83">
        <v>4573</v>
      </c>
      <c r="G83" t="s">
        <v>907</v>
      </c>
      <c r="H83" t="s">
        <v>908</v>
      </c>
      <c r="I83" t="s">
        <v>42</v>
      </c>
      <c r="J83" t="s">
        <v>43</v>
      </c>
      <c r="K83" t="s">
        <v>909</v>
      </c>
      <c r="L83" t="s">
        <v>101</v>
      </c>
      <c r="M83" t="s">
        <v>277</v>
      </c>
      <c r="N83" t="s">
        <v>47</v>
      </c>
      <c r="O83">
        <v>1727</v>
      </c>
      <c r="P83" t="s">
        <v>48</v>
      </c>
      <c r="Q83" t="s">
        <v>49</v>
      </c>
      <c r="R83" t="s">
        <v>71</v>
      </c>
      <c r="S83">
        <v>3</v>
      </c>
      <c r="T83" t="s">
        <v>72</v>
      </c>
      <c r="U83">
        <v>0</v>
      </c>
      <c r="W83" s="14">
        <v>2</v>
      </c>
      <c r="X83" t="s">
        <v>301</v>
      </c>
      <c r="Y83" s="14">
        <v>2</v>
      </c>
      <c r="AA83">
        <v>2</v>
      </c>
      <c r="AB83" s="8" t="s">
        <v>910</v>
      </c>
      <c r="AC83" s="14">
        <v>2</v>
      </c>
      <c r="AD83" s="8" t="s">
        <v>911</v>
      </c>
      <c r="AE83" s="14">
        <v>1</v>
      </c>
      <c r="AF83" s="8" t="s">
        <v>912</v>
      </c>
      <c r="AG83">
        <v>0</v>
      </c>
      <c r="AI83">
        <v>0</v>
      </c>
      <c r="AK83">
        <v>2</v>
      </c>
      <c r="AL83" s="8" t="s">
        <v>913</v>
      </c>
      <c r="AM83" s="14">
        <v>2</v>
      </c>
      <c r="AO83">
        <v>2</v>
      </c>
      <c r="AQ83">
        <v>2</v>
      </c>
      <c r="AS83">
        <v>2</v>
      </c>
      <c r="AU83">
        <v>2</v>
      </c>
      <c r="AW83" s="1">
        <f t="shared" si="2"/>
        <v>21</v>
      </c>
    </row>
    <row r="84" spans="1:49" ht="23.1" customHeight="1" x14ac:dyDescent="0.25">
      <c r="A84" t="s">
        <v>36</v>
      </c>
      <c r="B84" t="s">
        <v>324</v>
      </c>
      <c r="C84" t="s">
        <v>914</v>
      </c>
      <c r="D84" t="s">
        <v>915</v>
      </c>
      <c r="E84" t="b">
        <v>0</v>
      </c>
      <c r="F84">
        <v>399740</v>
      </c>
      <c r="G84" t="s">
        <v>916</v>
      </c>
      <c r="H84" t="s">
        <v>917</v>
      </c>
      <c r="I84" t="s">
        <v>42</v>
      </c>
      <c r="J84" t="s">
        <v>43</v>
      </c>
      <c r="K84" t="s">
        <v>918</v>
      </c>
      <c r="L84" t="s">
        <v>435</v>
      </c>
      <c r="M84" t="s">
        <v>156</v>
      </c>
      <c r="N84" t="s">
        <v>47</v>
      </c>
      <c r="O84">
        <v>350488</v>
      </c>
      <c r="P84" t="s">
        <v>48</v>
      </c>
      <c r="Q84" t="s">
        <v>49</v>
      </c>
      <c r="R84" t="s">
        <v>71</v>
      </c>
      <c r="S84" t="s">
        <v>51</v>
      </c>
      <c r="T84" t="s">
        <v>52</v>
      </c>
      <c r="U84">
        <v>2</v>
      </c>
      <c r="V84" s="8" t="s">
        <v>919</v>
      </c>
      <c r="W84">
        <v>2</v>
      </c>
      <c r="X84" s="8" t="s">
        <v>920</v>
      </c>
      <c r="Y84">
        <v>2</v>
      </c>
      <c r="Z84" t="s">
        <v>438</v>
      </c>
      <c r="AA84">
        <v>2</v>
      </c>
      <c r="AB84" s="8" t="s">
        <v>921</v>
      </c>
      <c r="AC84">
        <v>2</v>
      </c>
      <c r="AD84" s="8" t="s">
        <v>922</v>
      </c>
      <c r="AE84">
        <v>2</v>
      </c>
      <c r="AF84" t="s">
        <v>438</v>
      </c>
      <c r="AG84">
        <v>1</v>
      </c>
      <c r="AH84" s="8" t="s">
        <v>923</v>
      </c>
      <c r="AI84">
        <v>2</v>
      </c>
      <c r="AJ84" t="s">
        <v>924</v>
      </c>
      <c r="AK84">
        <v>2</v>
      </c>
      <c r="AL84" s="8" t="s">
        <v>925</v>
      </c>
      <c r="AM84">
        <v>2</v>
      </c>
      <c r="AN84" t="s">
        <v>438</v>
      </c>
      <c r="AO84">
        <v>2</v>
      </c>
      <c r="AP84" t="s">
        <v>438</v>
      </c>
      <c r="AQ84">
        <v>2</v>
      </c>
      <c r="AR84" t="s">
        <v>438</v>
      </c>
      <c r="AS84">
        <v>0</v>
      </c>
      <c r="AU84">
        <v>2</v>
      </c>
      <c r="AV84" t="s">
        <v>438</v>
      </c>
      <c r="AW84" s="1">
        <f t="shared" si="2"/>
        <v>25</v>
      </c>
    </row>
    <row r="85" spans="1:49" x14ac:dyDescent="0.25">
      <c r="A85" t="s">
        <v>36</v>
      </c>
      <c r="B85" t="s">
        <v>461</v>
      </c>
      <c r="C85" t="s">
        <v>926</v>
      </c>
      <c r="D85" t="s">
        <v>488</v>
      </c>
      <c r="E85" t="b">
        <v>0</v>
      </c>
      <c r="F85">
        <v>157059</v>
      </c>
      <c r="G85" t="s">
        <v>927</v>
      </c>
      <c r="H85" t="s">
        <v>928</v>
      </c>
      <c r="I85" t="s">
        <v>42</v>
      </c>
      <c r="J85" t="s">
        <v>43</v>
      </c>
      <c r="K85" t="s">
        <v>929</v>
      </c>
      <c r="L85" t="s">
        <v>930</v>
      </c>
      <c r="M85" t="s">
        <v>156</v>
      </c>
      <c r="N85" t="s">
        <v>47</v>
      </c>
      <c r="O85">
        <v>7221</v>
      </c>
      <c r="P85" t="s">
        <v>48</v>
      </c>
      <c r="Q85" t="s">
        <v>49</v>
      </c>
      <c r="R85" t="s">
        <v>71</v>
      </c>
      <c r="S85">
        <v>2</v>
      </c>
      <c r="T85" t="s">
        <v>72</v>
      </c>
      <c r="U85">
        <v>1</v>
      </c>
      <c r="V85" t="s">
        <v>931</v>
      </c>
      <c r="W85" s="14">
        <v>2</v>
      </c>
      <c r="X85" t="s">
        <v>219</v>
      </c>
      <c r="Y85" s="14">
        <v>2</v>
      </c>
      <c r="AA85">
        <v>0</v>
      </c>
      <c r="AC85" s="14">
        <v>2</v>
      </c>
      <c r="AD85" t="s">
        <v>219</v>
      </c>
      <c r="AE85" s="14">
        <v>2</v>
      </c>
      <c r="AF85" t="s">
        <v>219</v>
      </c>
      <c r="AG85">
        <v>1</v>
      </c>
      <c r="AH85" t="s">
        <v>853</v>
      </c>
      <c r="AI85">
        <v>1</v>
      </c>
      <c r="AJ85" t="s">
        <v>932</v>
      </c>
      <c r="AK85">
        <v>0</v>
      </c>
      <c r="AM85" s="14">
        <v>2</v>
      </c>
      <c r="AO85">
        <v>2</v>
      </c>
      <c r="AQ85">
        <v>2</v>
      </c>
      <c r="AS85">
        <v>2</v>
      </c>
      <c r="AU85">
        <v>2</v>
      </c>
      <c r="AW85" s="1">
        <f t="shared" si="2"/>
        <v>21</v>
      </c>
    </row>
    <row r="86" spans="1:49" ht="15.95" customHeight="1" x14ac:dyDescent="0.25">
      <c r="A86" t="s">
        <v>36</v>
      </c>
      <c r="B86" t="s">
        <v>374</v>
      </c>
      <c r="C86" t="s">
        <v>933</v>
      </c>
      <c r="E86" t="b">
        <v>0</v>
      </c>
      <c r="F86">
        <v>40623</v>
      </c>
      <c r="G86" t="s">
        <v>934</v>
      </c>
      <c r="H86" t="s">
        <v>935</v>
      </c>
      <c r="I86" t="s">
        <v>42</v>
      </c>
      <c r="J86" t="s">
        <v>43</v>
      </c>
      <c r="K86" t="s">
        <v>936</v>
      </c>
      <c r="L86" t="s">
        <v>276</v>
      </c>
      <c r="M86" t="s">
        <v>277</v>
      </c>
      <c r="N86" t="s">
        <v>47</v>
      </c>
      <c r="O86">
        <v>0</v>
      </c>
      <c r="P86" t="s">
        <v>48</v>
      </c>
      <c r="Q86" t="s">
        <v>49</v>
      </c>
      <c r="R86" t="s">
        <v>50</v>
      </c>
      <c r="S86" t="s">
        <v>51</v>
      </c>
      <c r="T86" t="s">
        <v>52</v>
      </c>
      <c r="U86">
        <v>0</v>
      </c>
      <c r="W86">
        <v>2</v>
      </c>
      <c r="X86" t="s">
        <v>937</v>
      </c>
      <c r="Y86">
        <v>2</v>
      </c>
      <c r="Z86" s="8" t="s">
        <v>938</v>
      </c>
      <c r="AA86">
        <v>2</v>
      </c>
      <c r="AB86" t="s">
        <v>939</v>
      </c>
      <c r="AC86">
        <v>0</v>
      </c>
      <c r="AE86">
        <v>1</v>
      </c>
      <c r="AF86" s="8" t="s">
        <v>940</v>
      </c>
      <c r="AG86">
        <v>0</v>
      </c>
      <c r="AI86">
        <v>0</v>
      </c>
      <c r="AK86">
        <v>0</v>
      </c>
      <c r="AM86">
        <v>2</v>
      </c>
      <c r="AN86" s="8" t="s">
        <v>941</v>
      </c>
      <c r="AO86">
        <v>2</v>
      </c>
      <c r="AP86" t="s">
        <v>820</v>
      </c>
      <c r="AQ86">
        <v>2</v>
      </c>
      <c r="AR86" t="s">
        <v>820</v>
      </c>
      <c r="AS86">
        <v>2</v>
      </c>
      <c r="AT86" t="s">
        <v>942</v>
      </c>
      <c r="AU86">
        <v>2</v>
      </c>
      <c r="AV86" t="s">
        <v>820</v>
      </c>
      <c r="AW86" s="1">
        <f t="shared" si="2"/>
        <v>17</v>
      </c>
    </row>
    <row r="87" spans="1:49" ht="15" customHeight="1" x14ac:dyDescent="0.25">
      <c r="A87" t="s">
        <v>36</v>
      </c>
      <c r="B87" t="s">
        <v>95</v>
      </c>
      <c r="C87" t="s">
        <v>943</v>
      </c>
      <c r="D87" t="s">
        <v>944</v>
      </c>
      <c r="E87" t="b">
        <v>0</v>
      </c>
      <c r="F87">
        <v>900752</v>
      </c>
      <c r="G87" t="s">
        <v>945</v>
      </c>
      <c r="H87" t="s">
        <v>946</v>
      </c>
      <c r="I87" t="s">
        <v>67</v>
      </c>
      <c r="J87" t="s">
        <v>43</v>
      </c>
      <c r="K87" t="s">
        <v>947</v>
      </c>
      <c r="L87" t="s">
        <v>101</v>
      </c>
      <c r="M87" t="s">
        <v>102</v>
      </c>
      <c r="N87" t="s">
        <v>47</v>
      </c>
      <c r="O87">
        <v>887156</v>
      </c>
      <c r="P87" t="s">
        <v>48</v>
      </c>
      <c r="Q87" t="s">
        <v>49</v>
      </c>
      <c r="R87" t="s">
        <v>71</v>
      </c>
      <c r="S87">
        <v>2</v>
      </c>
      <c r="T87" t="s">
        <v>72</v>
      </c>
      <c r="U87">
        <v>2</v>
      </c>
      <c r="V87" s="8" t="s">
        <v>948</v>
      </c>
      <c r="W87">
        <v>2</v>
      </c>
      <c r="X87" t="s">
        <v>820</v>
      </c>
      <c r="Y87">
        <v>2</v>
      </c>
      <c r="Z87" t="s">
        <v>820</v>
      </c>
      <c r="AA87">
        <v>1</v>
      </c>
      <c r="AB87" s="8" t="s">
        <v>949</v>
      </c>
      <c r="AC87">
        <v>2</v>
      </c>
      <c r="AD87" t="s">
        <v>820</v>
      </c>
      <c r="AE87">
        <v>2</v>
      </c>
      <c r="AF87" t="s">
        <v>820</v>
      </c>
      <c r="AG87">
        <v>2</v>
      </c>
      <c r="AH87" s="8" t="s">
        <v>950</v>
      </c>
      <c r="AI87">
        <v>1</v>
      </c>
      <c r="AJ87" s="8" t="s">
        <v>951</v>
      </c>
      <c r="AK87">
        <v>0</v>
      </c>
      <c r="AL87" s="8" t="s">
        <v>952</v>
      </c>
      <c r="AM87">
        <v>2</v>
      </c>
      <c r="AN87" t="s">
        <v>820</v>
      </c>
      <c r="AO87">
        <v>2</v>
      </c>
      <c r="AP87" t="s">
        <v>820</v>
      </c>
      <c r="AQ87">
        <v>2</v>
      </c>
      <c r="AR87" t="s">
        <v>820</v>
      </c>
      <c r="AS87">
        <v>2</v>
      </c>
      <c r="AT87" t="s">
        <v>820</v>
      </c>
      <c r="AU87">
        <v>2</v>
      </c>
      <c r="AV87" t="s">
        <v>820</v>
      </c>
      <c r="AW87" s="1">
        <f t="shared" si="2"/>
        <v>24</v>
      </c>
    </row>
    <row r="88" spans="1:49" ht="14.1" customHeight="1" x14ac:dyDescent="0.25">
      <c r="A88" t="s">
        <v>36</v>
      </c>
      <c r="B88" t="s">
        <v>374</v>
      </c>
      <c r="C88" t="s">
        <v>953</v>
      </c>
      <c r="D88" t="s">
        <v>954</v>
      </c>
      <c r="E88" t="b">
        <v>0</v>
      </c>
      <c r="F88">
        <v>395472</v>
      </c>
      <c r="G88" t="s">
        <v>955</v>
      </c>
      <c r="H88" t="s">
        <v>956</v>
      </c>
      <c r="I88" t="s">
        <v>42</v>
      </c>
      <c r="J88" t="s">
        <v>43</v>
      </c>
      <c r="K88" t="s">
        <v>957</v>
      </c>
      <c r="L88" t="s">
        <v>958</v>
      </c>
      <c r="M88" t="s">
        <v>959</v>
      </c>
      <c r="N88" t="s">
        <v>47</v>
      </c>
      <c r="O88">
        <v>375326</v>
      </c>
      <c r="P88" t="s">
        <v>48</v>
      </c>
      <c r="Q88" t="s">
        <v>49</v>
      </c>
      <c r="R88" t="s">
        <v>50</v>
      </c>
      <c r="S88">
        <v>2</v>
      </c>
      <c r="T88" t="s">
        <v>72</v>
      </c>
      <c r="U88">
        <v>1</v>
      </c>
      <c r="V88" s="8" t="s">
        <v>960</v>
      </c>
      <c r="W88" s="14">
        <v>2</v>
      </c>
      <c r="X88" t="s">
        <v>301</v>
      </c>
      <c r="Y88" s="14">
        <v>2</v>
      </c>
      <c r="AA88">
        <v>1</v>
      </c>
      <c r="AB88" s="8" t="s">
        <v>961</v>
      </c>
      <c r="AC88">
        <v>0</v>
      </c>
      <c r="AE88">
        <v>2</v>
      </c>
      <c r="AF88" s="8" t="s">
        <v>962</v>
      </c>
      <c r="AG88">
        <v>2</v>
      </c>
      <c r="AH88" s="8" t="s">
        <v>963</v>
      </c>
      <c r="AI88">
        <v>2</v>
      </c>
      <c r="AJ88" s="8" t="s">
        <v>964</v>
      </c>
      <c r="AK88">
        <v>2</v>
      </c>
      <c r="AL88" s="8" t="s">
        <v>965</v>
      </c>
      <c r="AM88" s="14">
        <v>2</v>
      </c>
      <c r="AO88">
        <v>2</v>
      </c>
      <c r="AQ88">
        <v>2</v>
      </c>
      <c r="AS88">
        <v>2</v>
      </c>
      <c r="AU88">
        <v>2</v>
      </c>
      <c r="AW88" s="1">
        <f t="shared" si="2"/>
        <v>24</v>
      </c>
    </row>
    <row r="89" spans="1:49" ht="14.1" customHeight="1" x14ac:dyDescent="0.25">
      <c r="A89" t="s">
        <v>36</v>
      </c>
      <c r="B89" t="s">
        <v>374</v>
      </c>
      <c r="C89" t="s">
        <v>966</v>
      </c>
      <c r="D89" t="s">
        <v>966</v>
      </c>
      <c r="E89" t="b">
        <v>0</v>
      </c>
      <c r="F89">
        <v>5276</v>
      </c>
      <c r="G89" t="s">
        <v>967</v>
      </c>
      <c r="H89" t="s">
        <v>968</v>
      </c>
      <c r="I89" t="s">
        <v>67</v>
      </c>
      <c r="J89" t="s">
        <v>43</v>
      </c>
      <c r="K89" t="s">
        <v>969</v>
      </c>
      <c r="L89" t="s">
        <v>970</v>
      </c>
      <c r="M89" t="s">
        <v>102</v>
      </c>
      <c r="N89" t="s">
        <v>47</v>
      </c>
      <c r="O89">
        <v>262</v>
      </c>
      <c r="P89" t="s">
        <v>48</v>
      </c>
      <c r="Q89" t="s">
        <v>49</v>
      </c>
      <c r="R89" t="s">
        <v>50</v>
      </c>
      <c r="S89">
        <v>5</v>
      </c>
      <c r="T89" t="s">
        <v>72</v>
      </c>
      <c r="U89">
        <v>2</v>
      </c>
      <c r="V89" s="8" t="s">
        <v>971</v>
      </c>
      <c r="W89" s="14">
        <v>2</v>
      </c>
      <c r="X89" t="s">
        <v>219</v>
      </c>
      <c r="Y89" s="14">
        <v>2</v>
      </c>
      <c r="AA89">
        <v>2</v>
      </c>
      <c r="AB89" s="8" t="s">
        <v>972</v>
      </c>
      <c r="AC89" s="14">
        <v>2</v>
      </c>
      <c r="AD89" t="s">
        <v>219</v>
      </c>
      <c r="AE89" s="14">
        <v>2</v>
      </c>
      <c r="AF89" t="s">
        <v>219</v>
      </c>
      <c r="AG89">
        <v>2</v>
      </c>
      <c r="AH89" s="8" t="s">
        <v>973</v>
      </c>
      <c r="AI89">
        <v>2</v>
      </c>
      <c r="AJ89" t="s">
        <v>974</v>
      </c>
      <c r="AK89">
        <v>0</v>
      </c>
      <c r="AM89" s="14">
        <v>2</v>
      </c>
      <c r="AO89">
        <v>2</v>
      </c>
      <c r="AQ89">
        <v>2</v>
      </c>
      <c r="AS89">
        <v>2</v>
      </c>
      <c r="AU89">
        <v>2</v>
      </c>
      <c r="AW89" s="1">
        <f t="shared" si="2"/>
        <v>26</v>
      </c>
    </row>
    <row r="90" spans="1:49" ht="15.95" customHeight="1" x14ac:dyDescent="0.25">
      <c r="A90" t="s">
        <v>36</v>
      </c>
      <c r="B90" t="s">
        <v>374</v>
      </c>
      <c r="C90" t="s">
        <v>307</v>
      </c>
      <c r="D90" t="s">
        <v>975</v>
      </c>
      <c r="E90" t="b">
        <v>0</v>
      </c>
      <c r="F90">
        <v>1620202</v>
      </c>
      <c r="G90" t="s">
        <v>976</v>
      </c>
      <c r="H90" t="s">
        <v>977</v>
      </c>
      <c r="I90" t="s">
        <v>67</v>
      </c>
      <c r="J90" t="s">
        <v>43</v>
      </c>
      <c r="K90" t="s">
        <v>978</v>
      </c>
      <c r="L90" t="s">
        <v>101</v>
      </c>
      <c r="M90" t="s">
        <v>381</v>
      </c>
      <c r="N90" t="s">
        <v>47</v>
      </c>
      <c r="O90">
        <v>1363722</v>
      </c>
      <c r="P90" t="s">
        <v>48</v>
      </c>
      <c r="Q90" t="s">
        <v>49</v>
      </c>
      <c r="R90" t="s">
        <v>71</v>
      </c>
      <c r="S90">
        <v>4</v>
      </c>
      <c r="T90" t="s">
        <v>72</v>
      </c>
      <c r="U90">
        <v>2</v>
      </c>
      <c r="V90" s="8" t="s">
        <v>841</v>
      </c>
      <c r="W90" s="14">
        <v>2</v>
      </c>
      <c r="X90" t="s">
        <v>219</v>
      </c>
      <c r="Y90" s="14">
        <v>2</v>
      </c>
      <c r="AA90">
        <v>2</v>
      </c>
      <c r="AB90" s="8" t="s">
        <v>842</v>
      </c>
      <c r="AC90" s="14">
        <v>2</v>
      </c>
      <c r="AD90" t="s">
        <v>219</v>
      </c>
      <c r="AE90" s="14">
        <v>2</v>
      </c>
      <c r="AF90" t="s">
        <v>219</v>
      </c>
      <c r="AG90">
        <v>2</v>
      </c>
      <c r="AH90" s="8" t="s">
        <v>979</v>
      </c>
      <c r="AI90">
        <v>2</v>
      </c>
      <c r="AJ90" t="s">
        <v>871</v>
      </c>
      <c r="AK90">
        <v>2</v>
      </c>
      <c r="AL90" t="s">
        <v>845</v>
      </c>
      <c r="AM90" s="14">
        <v>2</v>
      </c>
      <c r="AO90">
        <v>2</v>
      </c>
      <c r="AQ90">
        <v>2</v>
      </c>
      <c r="AS90">
        <v>2</v>
      </c>
      <c r="AU90">
        <v>2</v>
      </c>
      <c r="AW90" s="1">
        <f t="shared" si="2"/>
        <v>28</v>
      </c>
    </row>
    <row r="91" spans="1:49" ht="12.95" customHeight="1" x14ac:dyDescent="0.25">
      <c r="A91" t="s">
        <v>36</v>
      </c>
      <c r="B91" t="s">
        <v>167</v>
      </c>
      <c r="C91" t="s">
        <v>980</v>
      </c>
      <c r="D91" t="s">
        <v>981</v>
      </c>
      <c r="E91" t="b">
        <v>0</v>
      </c>
      <c r="F91">
        <v>155813</v>
      </c>
      <c r="G91" t="s">
        <v>982</v>
      </c>
      <c r="H91" t="s">
        <v>983</v>
      </c>
      <c r="I91" t="s">
        <v>42</v>
      </c>
      <c r="J91" t="s">
        <v>43</v>
      </c>
      <c r="K91" t="s">
        <v>984</v>
      </c>
      <c r="L91" t="s">
        <v>217</v>
      </c>
      <c r="M91" t="s">
        <v>277</v>
      </c>
      <c r="N91" t="s">
        <v>47</v>
      </c>
      <c r="O91">
        <v>124641</v>
      </c>
      <c r="P91" t="s">
        <v>48</v>
      </c>
      <c r="Q91" t="s">
        <v>49</v>
      </c>
      <c r="R91" t="s">
        <v>50</v>
      </c>
      <c r="S91">
        <v>4</v>
      </c>
      <c r="T91" t="s">
        <v>72</v>
      </c>
      <c r="U91" s="6">
        <v>1</v>
      </c>
      <c r="V91" t="s">
        <v>300</v>
      </c>
      <c r="W91" s="6">
        <v>2</v>
      </c>
      <c r="X91" s="7" t="s">
        <v>301</v>
      </c>
      <c r="Y91" s="14">
        <v>2</v>
      </c>
      <c r="AA91" s="6">
        <v>1</v>
      </c>
      <c r="AB91" t="s">
        <v>302</v>
      </c>
      <c r="AC91" s="6">
        <v>2</v>
      </c>
      <c r="AD91" s="7" t="s">
        <v>301</v>
      </c>
      <c r="AE91" s="6">
        <v>2</v>
      </c>
      <c r="AF91" s="7" t="s">
        <v>301</v>
      </c>
      <c r="AG91">
        <v>2</v>
      </c>
      <c r="AH91" s="8" t="s">
        <v>985</v>
      </c>
      <c r="AI91">
        <v>0</v>
      </c>
      <c r="AK91" s="6">
        <v>2</v>
      </c>
      <c r="AL91" t="s">
        <v>304</v>
      </c>
      <c r="AM91" s="14">
        <v>2</v>
      </c>
      <c r="AO91">
        <v>2</v>
      </c>
      <c r="AQ91">
        <v>2</v>
      </c>
      <c r="AS91">
        <v>2</v>
      </c>
      <c r="AU91">
        <v>2</v>
      </c>
      <c r="AW91" s="1">
        <f t="shared" si="2"/>
        <v>24</v>
      </c>
    </row>
    <row r="92" spans="1:49" ht="21" customHeight="1" x14ac:dyDescent="0.25">
      <c r="A92" t="s">
        <v>36</v>
      </c>
      <c r="B92" t="s">
        <v>95</v>
      </c>
      <c r="C92" t="s">
        <v>986</v>
      </c>
      <c r="E92" t="b">
        <v>0</v>
      </c>
      <c r="F92">
        <v>16772</v>
      </c>
      <c r="G92" t="s">
        <v>987</v>
      </c>
      <c r="H92" t="s">
        <v>988</v>
      </c>
      <c r="I92" t="s">
        <v>67</v>
      </c>
      <c r="J92" t="s">
        <v>43</v>
      </c>
      <c r="K92" t="s">
        <v>989</v>
      </c>
      <c r="L92" t="s">
        <v>990</v>
      </c>
      <c r="M92" t="s">
        <v>102</v>
      </c>
      <c r="N92" t="s">
        <v>47</v>
      </c>
      <c r="O92">
        <v>0</v>
      </c>
      <c r="P92" t="s">
        <v>48</v>
      </c>
      <c r="Q92" t="s">
        <v>49</v>
      </c>
      <c r="R92" t="s">
        <v>50</v>
      </c>
      <c r="S92" t="s">
        <v>51</v>
      </c>
      <c r="T92" t="s">
        <v>103</v>
      </c>
      <c r="U92">
        <v>2</v>
      </c>
      <c r="V92" t="s">
        <v>991</v>
      </c>
      <c r="W92">
        <v>2</v>
      </c>
      <c r="X92" s="8" t="s">
        <v>992</v>
      </c>
      <c r="Y92">
        <v>2</v>
      </c>
      <c r="Z92" t="s">
        <v>438</v>
      </c>
      <c r="AA92">
        <v>1</v>
      </c>
      <c r="AB92" s="8" t="s">
        <v>993</v>
      </c>
      <c r="AC92">
        <v>0</v>
      </c>
      <c r="AE92">
        <v>2</v>
      </c>
      <c r="AF92" t="s">
        <v>438</v>
      </c>
      <c r="AG92">
        <v>2</v>
      </c>
      <c r="AH92" s="8" t="s">
        <v>994</v>
      </c>
      <c r="AI92">
        <v>2</v>
      </c>
      <c r="AJ92" s="8" t="s">
        <v>995</v>
      </c>
      <c r="AK92">
        <v>2</v>
      </c>
      <c r="AL92" t="s">
        <v>996</v>
      </c>
      <c r="AM92">
        <v>2</v>
      </c>
      <c r="AN92" t="s">
        <v>438</v>
      </c>
      <c r="AO92">
        <v>2</v>
      </c>
      <c r="AP92" t="s">
        <v>438</v>
      </c>
      <c r="AQ92">
        <v>2</v>
      </c>
      <c r="AR92" t="s">
        <v>438</v>
      </c>
      <c r="AS92">
        <v>2</v>
      </c>
      <c r="AT92" s="8" t="s">
        <v>997</v>
      </c>
      <c r="AU92">
        <v>2</v>
      </c>
      <c r="AV92" t="s">
        <v>438</v>
      </c>
      <c r="AW92" s="1">
        <f t="shared" si="2"/>
        <v>25</v>
      </c>
    </row>
    <row r="93" spans="1:49" ht="20.25" customHeight="1" x14ac:dyDescent="0.25">
      <c r="A93" t="s">
        <v>36</v>
      </c>
      <c r="B93" t="s">
        <v>998</v>
      </c>
      <c r="C93" t="s">
        <v>999</v>
      </c>
      <c r="D93" t="s">
        <v>1000</v>
      </c>
      <c r="E93" t="b">
        <v>0</v>
      </c>
      <c r="F93">
        <v>2229034</v>
      </c>
      <c r="G93" t="s">
        <v>1001</v>
      </c>
      <c r="H93" t="s">
        <v>1002</v>
      </c>
      <c r="I93" t="s">
        <v>67</v>
      </c>
      <c r="J93" t="s">
        <v>43</v>
      </c>
      <c r="K93" t="s">
        <v>1003</v>
      </c>
      <c r="L93" t="s">
        <v>1004</v>
      </c>
      <c r="M93" t="s">
        <v>122</v>
      </c>
      <c r="N93" t="s">
        <v>47</v>
      </c>
      <c r="O93">
        <v>1821567</v>
      </c>
      <c r="P93" t="s">
        <v>48</v>
      </c>
      <c r="Q93" t="s">
        <v>49</v>
      </c>
      <c r="R93" t="s">
        <v>71</v>
      </c>
      <c r="S93">
        <v>5</v>
      </c>
      <c r="T93" t="s">
        <v>72</v>
      </c>
      <c r="U93">
        <v>1</v>
      </c>
      <c r="V93" s="8" t="s">
        <v>1005</v>
      </c>
      <c r="W93">
        <v>2</v>
      </c>
      <c r="X93" t="s">
        <v>301</v>
      </c>
      <c r="Y93" s="14">
        <v>2</v>
      </c>
      <c r="AA93">
        <v>2</v>
      </c>
      <c r="AB93" t="s">
        <v>1006</v>
      </c>
      <c r="AC93">
        <v>1</v>
      </c>
      <c r="AD93" s="8" t="s">
        <v>1007</v>
      </c>
      <c r="AE93">
        <v>2</v>
      </c>
      <c r="AF93" s="8" t="s">
        <v>1008</v>
      </c>
      <c r="AG93">
        <v>0</v>
      </c>
      <c r="AI93">
        <v>0</v>
      </c>
      <c r="AK93">
        <v>0</v>
      </c>
      <c r="AM93" s="14">
        <v>2</v>
      </c>
      <c r="AO93">
        <v>2</v>
      </c>
      <c r="AQ93">
        <v>2</v>
      </c>
      <c r="AS93">
        <v>2</v>
      </c>
      <c r="AU93">
        <v>2</v>
      </c>
      <c r="AW93" s="1">
        <f>SUM(V93:AU93)</f>
        <v>19</v>
      </c>
    </row>
    <row r="94" spans="1:49" ht="17.100000000000001" customHeight="1" x14ac:dyDescent="0.25">
      <c r="A94" t="s">
        <v>36</v>
      </c>
      <c r="B94" t="s">
        <v>1009</v>
      </c>
      <c r="C94" t="s">
        <v>1010</v>
      </c>
      <c r="D94" t="s">
        <v>1010</v>
      </c>
      <c r="E94" t="b">
        <v>0</v>
      </c>
      <c r="F94">
        <v>5367</v>
      </c>
      <c r="G94" t="s">
        <v>1011</v>
      </c>
      <c r="H94" t="s">
        <v>1012</v>
      </c>
      <c r="I94" t="s">
        <v>42</v>
      </c>
      <c r="J94" t="s">
        <v>43</v>
      </c>
      <c r="K94" t="s">
        <v>1013</v>
      </c>
      <c r="L94" t="s">
        <v>1014</v>
      </c>
      <c r="M94" t="s">
        <v>156</v>
      </c>
      <c r="N94" t="s">
        <v>47</v>
      </c>
      <c r="O94">
        <v>5367</v>
      </c>
      <c r="P94" t="s">
        <v>48</v>
      </c>
      <c r="Q94" t="s">
        <v>49</v>
      </c>
      <c r="R94" t="s">
        <v>50</v>
      </c>
      <c r="S94" t="s">
        <v>51</v>
      </c>
      <c r="T94" t="s">
        <v>52</v>
      </c>
      <c r="U94">
        <v>1</v>
      </c>
      <c r="V94" t="s">
        <v>1015</v>
      </c>
      <c r="W94">
        <v>1</v>
      </c>
      <c r="X94" s="8" t="s">
        <v>1016</v>
      </c>
      <c r="Y94">
        <v>2</v>
      </c>
      <c r="Z94" t="s">
        <v>441</v>
      </c>
      <c r="AA94">
        <v>2</v>
      </c>
      <c r="AB94" s="8" t="s">
        <v>1017</v>
      </c>
      <c r="AC94">
        <v>0</v>
      </c>
      <c r="AE94">
        <v>2</v>
      </c>
      <c r="AF94" t="s">
        <v>441</v>
      </c>
      <c r="AG94">
        <v>0</v>
      </c>
      <c r="AI94">
        <v>0</v>
      </c>
      <c r="AK94">
        <v>0</v>
      </c>
      <c r="AM94">
        <v>2</v>
      </c>
      <c r="AN94" t="s">
        <v>441</v>
      </c>
      <c r="AO94">
        <v>2</v>
      </c>
      <c r="AP94" t="s">
        <v>441</v>
      </c>
      <c r="AQ94">
        <v>2</v>
      </c>
      <c r="AR94" t="s">
        <v>441</v>
      </c>
      <c r="AS94">
        <v>0</v>
      </c>
      <c r="AU94">
        <v>2</v>
      </c>
      <c r="AV94" t="s">
        <v>441</v>
      </c>
      <c r="AW94" s="1">
        <f t="shared" si="2"/>
        <v>16</v>
      </c>
    </row>
    <row r="95" spans="1:49" ht="18" customHeight="1" x14ac:dyDescent="0.25">
      <c r="A95" t="s">
        <v>36</v>
      </c>
      <c r="B95" t="s">
        <v>253</v>
      </c>
      <c r="C95" t="s">
        <v>1018</v>
      </c>
      <c r="D95" t="s">
        <v>1018</v>
      </c>
      <c r="E95" t="b">
        <v>0</v>
      </c>
      <c r="F95">
        <v>37247</v>
      </c>
      <c r="G95" t="s">
        <v>1019</v>
      </c>
      <c r="H95" t="s">
        <v>1020</v>
      </c>
      <c r="I95" t="s">
        <v>42</v>
      </c>
      <c r="J95" t="s">
        <v>43</v>
      </c>
      <c r="K95" t="s">
        <v>1021</v>
      </c>
      <c r="L95" t="s">
        <v>217</v>
      </c>
      <c r="M95" t="s">
        <v>299</v>
      </c>
      <c r="N95" t="s">
        <v>47</v>
      </c>
      <c r="O95">
        <v>37247</v>
      </c>
      <c r="P95" t="s">
        <v>48</v>
      </c>
      <c r="Q95" t="s">
        <v>49</v>
      </c>
      <c r="R95" t="s">
        <v>50</v>
      </c>
      <c r="S95">
        <v>5</v>
      </c>
      <c r="T95" t="s">
        <v>72</v>
      </c>
      <c r="U95" s="6">
        <v>1</v>
      </c>
      <c r="V95" t="s">
        <v>300</v>
      </c>
      <c r="W95" s="6">
        <v>2</v>
      </c>
      <c r="X95" s="7" t="s">
        <v>301</v>
      </c>
      <c r="Y95" s="6">
        <v>2</v>
      </c>
      <c r="Z95" s="7"/>
      <c r="AA95" s="6">
        <v>1</v>
      </c>
      <c r="AB95" t="s">
        <v>302</v>
      </c>
      <c r="AC95" s="6">
        <v>1</v>
      </c>
      <c r="AD95" t="s">
        <v>303</v>
      </c>
      <c r="AE95" s="6">
        <v>0</v>
      </c>
      <c r="AF95" s="7"/>
      <c r="AG95" s="6">
        <v>0</v>
      </c>
      <c r="AH95" s="7"/>
      <c r="AI95" s="6">
        <v>0</v>
      </c>
      <c r="AJ95" s="7"/>
      <c r="AK95" s="6">
        <v>2</v>
      </c>
      <c r="AL95" t="s">
        <v>304</v>
      </c>
      <c r="AM95" s="6">
        <v>2</v>
      </c>
      <c r="AN95" s="7"/>
      <c r="AO95" s="6">
        <v>2</v>
      </c>
      <c r="AP95" s="7"/>
      <c r="AQ95" s="6">
        <v>2</v>
      </c>
      <c r="AR95" s="7"/>
      <c r="AS95" s="6">
        <v>2</v>
      </c>
      <c r="AT95" s="7"/>
      <c r="AU95" s="6">
        <v>2</v>
      </c>
      <c r="AV95" s="7"/>
      <c r="AW95" s="1">
        <f t="shared" si="2"/>
        <v>19</v>
      </c>
    </row>
    <row r="96" spans="1:49" ht="14.1" customHeight="1" x14ac:dyDescent="0.25">
      <c r="A96" t="s">
        <v>36</v>
      </c>
      <c r="B96" t="s">
        <v>1022</v>
      </c>
      <c r="C96" t="s">
        <v>1023</v>
      </c>
      <c r="D96" t="s">
        <v>1024</v>
      </c>
      <c r="E96" t="b">
        <v>0</v>
      </c>
      <c r="F96">
        <v>1327442</v>
      </c>
      <c r="G96" t="s">
        <v>1025</v>
      </c>
      <c r="H96" t="s">
        <v>1026</v>
      </c>
      <c r="I96" t="s">
        <v>67</v>
      </c>
      <c r="J96" t="s">
        <v>43</v>
      </c>
      <c r="K96" t="s">
        <v>1027</v>
      </c>
      <c r="L96" t="s">
        <v>1028</v>
      </c>
      <c r="M96" t="s">
        <v>122</v>
      </c>
      <c r="N96" t="s">
        <v>47</v>
      </c>
      <c r="O96">
        <v>482081</v>
      </c>
      <c r="P96" t="s">
        <v>48</v>
      </c>
      <c r="Q96" t="s">
        <v>49</v>
      </c>
      <c r="R96" t="s">
        <v>71</v>
      </c>
      <c r="S96" t="s">
        <v>51</v>
      </c>
      <c r="T96" t="s">
        <v>72</v>
      </c>
      <c r="U96">
        <v>2</v>
      </c>
      <c r="V96" s="8" t="s">
        <v>1029</v>
      </c>
      <c r="W96">
        <v>2</v>
      </c>
      <c r="X96" t="s">
        <v>1030</v>
      </c>
      <c r="Y96">
        <v>2</v>
      </c>
      <c r="Z96" t="s">
        <v>1030</v>
      </c>
      <c r="AA96">
        <v>0</v>
      </c>
      <c r="AC96">
        <v>2</v>
      </c>
      <c r="AD96" t="s">
        <v>1030</v>
      </c>
      <c r="AE96">
        <v>2</v>
      </c>
      <c r="AF96" t="s">
        <v>1030</v>
      </c>
      <c r="AG96">
        <v>2</v>
      </c>
      <c r="AH96" t="s">
        <v>1031</v>
      </c>
      <c r="AI96">
        <v>0</v>
      </c>
      <c r="AK96">
        <v>2</v>
      </c>
      <c r="AL96" s="8" t="s">
        <v>1032</v>
      </c>
      <c r="AM96">
        <v>2</v>
      </c>
      <c r="AN96" t="s">
        <v>1030</v>
      </c>
      <c r="AO96">
        <v>2</v>
      </c>
      <c r="AP96" t="s">
        <v>1030</v>
      </c>
      <c r="AQ96">
        <v>2</v>
      </c>
      <c r="AR96" t="s">
        <v>1030</v>
      </c>
      <c r="AS96">
        <v>2</v>
      </c>
      <c r="AT96" t="s">
        <v>1030</v>
      </c>
      <c r="AU96">
        <v>2</v>
      </c>
      <c r="AV96" t="s">
        <v>1030</v>
      </c>
      <c r="AW96" s="1">
        <f t="shared" si="2"/>
        <v>24</v>
      </c>
    </row>
    <row r="97" spans="1:49" ht="18" customHeight="1" x14ac:dyDescent="0.25">
      <c r="A97" t="s">
        <v>36</v>
      </c>
      <c r="B97" t="s">
        <v>374</v>
      </c>
      <c r="C97" t="s">
        <v>375</v>
      </c>
      <c r="D97" t="s">
        <v>376</v>
      </c>
      <c r="E97" t="b">
        <v>0</v>
      </c>
      <c r="F97">
        <v>681565</v>
      </c>
      <c r="G97" t="s">
        <v>1033</v>
      </c>
      <c r="H97" t="s">
        <v>1034</v>
      </c>
      <c r="I97" t="s">
        <v>67</v>
      </c>
      <c r="J97" t="s">
        <v>43</v>
      </c>
      <c r="K97" t="s">
        <v>1035</v>
      </c>
      <c r="L97" t="s">
        <v>101</v>
      </c>
      <c r="M97" t="s">
        <v>381</v>
      </c>
      <c r="N97" t="s">
        <v>47</v>
      </c>
      <c r="O97">
        <v>497100</v>
      </c>
      <c r="P97" t="s">
        <v>48</v>
      </c>
      <c r="Q97" t="s">
        <v>49</v>
      </c>
      <c r="R97" t="s">
        <v>71</v>
      </c>
      <c r="S97">
        <v>3</v>
      </c>
      <c r="T97" t="s">
        <v>72</v>
      </c>
      <c r="U97">
        <v>2</v>
      </c>
      <c r="V97" s="8" t="s">
        <v>841</v>
      </c>
      <c r="W97" s="6">
        <v>2</v>
      </c>
      <c r="X97" s="7" t="s">
        <v>301</v>
      </c>
      <c r="Y97" s="14">
        <v>2</v>
      </c>
      <c r="AA97">
        <v>2</v>
      </c>
      <c r="AB97" s="8" t="s">
        <v>842</v>
      </c>
      <c r="AC97" s="6">
        <v>2</v>
      </c>
      <c r="AD97" s="7" t="s">
        <v>301</v>
      </c>
      <c r="AE97" s="6">
        <v>2</v>
      </c>
      <c r="AF97" s="7" t="s">
        <v>301</v>
      </c>
      <c r="AG97">
        <v>1</v>
      </c>
      <c r="AH97" s="8" t="s">
        <v>1036</v>
      </c>
      <c r="AI97">
        <v>2</v>
      </c>
      <c r="AJ97" t="s">
        <v>871</v>
      </c>
      <c r="AK97">
        <v>2</v>
      </c>
      <c r="AL97" s="8" t="s">
        <v>1037</v>
      </c>
      <c r="AM97" s="14">
        <v>2</v>
      </c>
      <c r="AO97">
        <v>2</v>
      </c>
      <c r="AQ97">
        <v>2</v>
      </c>
      <c r="AS97">
        <v>2</v>
      </c>
      <c r="AU97">
        <v>2</v>
      </c>
      <c r="AW97" s="1">
        <f t="shared" si="2"/>
        <v>27</v>
      </c>
    </row>
    <row r="98" spans="1:49" ht="51" customHeight="1" x14ac:dyDescent="0.25">
      <c r="A98" t="s">
        <v>36</v>
      </c>
      <c r="B98" t="s">
        <v>95</v>
      </c>
      <c r="C98" t="s">
        <v>1038</v>
      </c>
      <c r="D98" t="s">
        <v>1039</v>
      </c>
      <c r="E98" t="b">
        <v>0</v>
      </c>
      <c r="F98">
        <v>112185</v>
      </c>
      <c r="G98" t="s">
        <v>1040</v>
      </c>
      <c r="H98" t="s">
        <v>1041</v>
      </c>
      <c r="I98" t="s">
        <v>42</v>
      </c>
      <c r="J98" t="s">
        <v>43</v>
      </c>
      <c r="K98" t="s">
        <v>1042</v>
      </c>
      <c r="L98" t="s">
        <v>1043</v>
      </c>
      <c r="M98" t="s">
        <v>156</v>
      </c>
      <c r="N98" t="s">
        <v>47</v>
      </c>
      <c r="O98">
        <v>110542</v>
      </c>
      <c r="P98" t="s">
        <v>48</v>
      </c>
      <c r="Q98" t="s">
        <v>49</v>
      </c>
      <c r="R98" t="s">
        <v>71</v>
      </c>
      <c r="S98" t="s">
        <v>51</v>
      </c>
      <c r="T98" t="s">
        <v>52</v>
      </c>
      <c r="U98">
        <v>0</v>
      </c>
      <c r="W98">
        <v>1</v>
      </c>
      <c r="X98" s="8" t="s">
        <v>1044</v>
      </c>
      <c r="Y98">
        <v>2</v>
      </c>
      <c r="Z98" s="8" t="s">
        <v>441</v>
      </c>
      <c r="AA98">
        <v>1</v>
      </c>
      <c r="AB98" s="8" t="s">
        <v>1045</v>
      </c>
      <c r="AC98">
        <v>0</v>
      </c>
      <c r="AE98">
        <v>2</v>
      </c>
      <c r="AF98" t="s">
        <v>441</v>
      </c>
      <c r="AG98">
        <v>0</v>
      </c>
      <c r="AI98">
        <v>0</v>
      </c>
      <c r="AK98">
        <v>0</v>
      </c>
      <c r="AM98">
        <v>2</v>
      </c>
      <c r="AN98" t="s">
        <v>441</v>
      </c>
      <c r="AO98">
        <v>2</v>
      </c>
      <c r="AP98" t="s">
        <v>441</v>
      </c>
      <c r="AQ98">
        <v>2</v>
      </c>
      <c r="AR98" t="s">
        <v>441</v>
      </c>
      <c r="AS98">
        <v>0</v>
      </c>
      <c r="AU98">
        <v>2</v>
      </c>
      <c r="AV98" t="s">
        <v>441</v>
      </c>
      <c r="AW98" s="1">
        <f t="shared" si="2"/>
        <v>14</v>
      </c>
    </row>
    <row r="99" spans="1:49" ht="18.95" customHeight="1" x14ac:dyDescent="0.25">
      <c r="A99" t="s">
        <v>36</v>
      </c>
      <c r="B99" t="s">
        <v>1046</v>
      </c>
      <c r="C99" t="s">
        <v>780</v>
      </c>
      <c r="D99" t="s">
        <v>1047</v>
      </c>
      <c r="E99" t="b">
        <v>0</v>
      </c>
      <c r="F99">
        <v>281208</v>
      </c>
      <c r="G99" t="s">
        <v>1048</v>
      </c>
      <c r="H99" t="s">
        <v>1049</v>
      </c>
      <c r="I99" t="s">
        <v>42</v>
      </c>
      <c r="J99" t="s">
        <v>43</v>
      </c>
      <c r="K99" t="s">
        <v>1050</v>
      </c>
      <c r="L99" t="s">
        <v>1051</v>
      </c>
      <c r="M99" t="s">
        <v>156</v>
      </c>
      <c r="N99" t="s">
        <v>47</v>
      </c>
      <c r="O99">
        <v>60747</v>
      </c>
      <c r="P99" t="s">
        <v>48</v>
      </c>
      <c r="Q99" t="s">
        <v>49</v>
      </c>
      <c r="R99" t="s">
        <v>71</v>
      </c>
      <c r="S99" t="s">
        <v>51</v>
      </c>
      <c r="T99" t="s">
        <v>52</v>
      </c>
      <c r="U99">
        <v>2</v>
      </c>
      <c r="V99" t="s">
        <v>1052</v>
      </c>
      <c r="W99">
        <v>2</v>
      </c>
      <c r="X99" t="s">
        <v>1053</v>
      </c>
      <c r="Y99">
        <v>2</v>
      </c>
      <c r="Z99" s="8" t="s">
        <v>441</v>
      </c>
      <c r="AA99">
        <v>2</v>
      </c>
      <c r="AB99" t="s">
        <v>1054</v>
      </c>
      <c r="AC99">
        <v>2</v>
      </c>
      <c r="AD99" s="8" t="s">
        <v>1055</v>
      </c>
      <c r="AE99">
        <v>2</v>
      </c>
      <c r="AF99" s="8" t="s">
        <v>441</v>
      </c>
      <c r="AG99">
        <v>1</v>
      </c>
      <c r="AH99" t="s">
        <v>1056</v>
      </c>
      <c r="AI99">
        <v>2</v>
      </c>
      <c r="AJ99" t="s">
        <v>1057</v>
      </c>
      <c r="AK99">
        <v>0</v>
      </c>
      <c r="AM99">
        <v>2</v>
      </c>
      <c r="AN99" s="8" t="s">
        <v>441</v>
      </c>
      <c r="AO99">
        <v>2</v>
      </c>
      <c r="AP99" s="8" t="s">
        <v>441</v>
      </c>
      <c r="AQ99">
        <v>2</v>
      </c>
      <c r="AR99" s="8" t="s">
        <v>441</v>
      </c>
      <c r="AS99">
        <v>2</v>
      </c>
      <c r="AT99" s="8" t="s">
        <v>1058</v>
      </c>
      <c r="AU99">
        <v>2</v>
      </c>
      <c r="AV99" s="8" t="s">
        <v>441</v>
      </c>
      <c r="AW99" s="1">
        <f>SUM(U99:AU99)</f>
        <v>25</v>
      </c>
    </row>
    <row r="100" spans="1:49" ht="18.95" customHeight="1" x14ac:dyDescent="0.25">
      <c r="A100" t="s">
        <v>36</v>
      </c>
      <c r="B100" t="s">
        <v>95</v>
      </c>
      <c r="C100" t="s">
        <v>1059</v>
      </c>
      <c r="D100" t="s">
        <v>1059</v>
      </c>
      <c r="E100" t="b">
        <v>0</v>
      </c>
      <c r="F100">
        <v>1552925</v>
      </c>
      <c r="G100" t="s">
        <v>1060</v>
      </c>
      <c r="H100" t="s">
        <v>1061</v>
      </c>
      <c r="I100" t="s">
        <v>67</v>
      </c>
      <c r="J100" t="s">
        <v>43</v>
      </c>
      <c r="K100" t="s">
        <v>1062</v>
      </c>
      <c r="L100" t="s">
        <v>101</v>
      </c>
      <c r="M100" t="s">
        <v>70</v>
      </c>
      <c r="N100" t="s">
        <v>47</v>
      </c>
      <c r="O100">
        <v>887290</v>
      </c>
      <c r="P100" t="s">
        <v>48</v>
      </c>
      <c r="Q100" t="s">
        <v>49</v>
      </c>
      <c r="R100" t="s">
        <v>71</v>
      </c>
      <c r="S100">
        <v>3</v>
      </c>
      <c r="T100" t="s">
        <v>72</v>
      </c>
      <c r="U100">
        <v>0</v>
      </c>
      <c r="W100" s="20">
        <v>2</v>
      </c>
      <c r="X100" t="s">
        <v>301</v>
      </c>
      <c r="Y100" s="14">
        <v>2</v>
      </c>
      <c r="AA100">
        <v>0</v>
      </c>
      <c r="AC100">
        <v>0</v>
      </c>
      <c r="AE100">
        <v>2</v>
      </c>
      <c r="AF100" s="8" t="s">
        <v>1063</v>
      </c>
      <c r="AG100">
        <v>0</v>
      </c>
      <c r="AI100">
        <v>0</v>
      </c>
      <c r="AK100">
        <v>2</v>
      </c>
      <c r="AL100" s="8" t="s">
        <v>1064</v>
      </c>
      <c r="AM100" s="14">
        <v>2</v>
      </c>
      <c r="AO100">
        <v>2</v>
      </c>
      <c r="AQ100">
        <v>2</v>
      </c>
      <c r="AS100">
        <v>2</v>
      </c>
      <c r="AU100">
        <v>2</v>
      </c>
      <c r="AW100" s="1">
        <f t="shared" si="2"/>
        <v>18</v>
      </c>
    </row>
    <row r="101" spans="1:49" ht="17.100000000000001" customHeight="1" x14ac:dyDescent="0.25">
      <c r="A101" t="s">
        <v>36</v>
      </c>
      <c r="B101" t="s">
        <v>1046</v>
      </c>
      <c r="C101" t="s">
        <v>1065</v>
      </c>
      <c r="D101" t="s">
        <v>1065</v>
      </c>
      <c r="E101" t="b">
        <v>0</v>
      </c>
      <c r="F101">
        <v>106092</v>
      </c>
      <c r="G101" t="s">
        <v>1066</v>
      </c>
      <c r="H101" t="s">
        <v>1067</v>
      </c>
      <c r="I101" t="s">
        <v>42</v>
      </c>
      <c r="J101" t="s">
        <v>43</v>
      </c>
      <c r="K101" t="s">
        <v>1068</v>
      </c>
      <c r="L101" t="s">
        <v>1069</v>
      </c>
      <c r="M101" t="s">
        <v>156</v>
      </c>
      <c r="N101" t="s">
        <v>47</v>
      </c>
      <c r="O101">
        <v>65551</v>
      </c>
      <c r="P101" t="s">
        <v>48</v>
      </c>
      <c r="Q101" t="s">
        <v>49</v>
      </c>
      <c r="R101" t="s">
        <v>71</v>
      </c>
      <c r="S101" t="s">
        <v>51</v>
      </c>
      <c r="T101" t="s">
        <v>52</v>
      </c>
      <c r="U101">
        <v>1</v>
      </c>
      <c r="V101" s="8" t="s">
        <v>1070</v>
      </c>
      <c r="W101">
        <v>0</v>
      </c>
      <c r="Y101">
        <v>1</v>
      </c>
      <c r="Z101" s="8" t="s">
        <v>1071</v>
      </c>
      <c r="AA101">
        <v>2</v>
      </c>
      <c r="AB101" s="8" t="s">
        <v>1072</v>
      </c>
      <c r="AC101">
        <v>1</v>
      </c>
      <c r="AD101" s="8" t="s">
        <v>1073</v>
      </c>
      <c r="AE101">
        <v>0</v>
      </c>
      <c r="AG101">
        <v>0</v>
      </c>
      <c r="AI101">
        <v>0</v>
      </c>
      <c r="AK101">
        <v>0</v>
      </c>
      <c r="AM101">
        <v>2</v>
      </c>
      <c r="AN101" s="8" t="s">
        <v>1074</v>
      </c>
      <c r="AO101">
        <v>2</v>
      </c>
      <c r="AP101" t="s">
        <v>219</v>
      </c>
      <c r="AQ101">
        <v>2</v>
      </c>
      <c r="AR101" t="s">
        <v>219</v>
      </c>
      <c r="AS101">
        <v>0</v>
      </c>
      <c r="AU101">
        <v>2</v>
      </c>
      <c r="AV101" t="s">
        <v>219</v>
      </c>
      <c r="AW101" s="1">
        <f t="shared" si="2"/>
        <v>13</v>
      </c>
    </row>
    <row r="102" spans="1:49" ht="18.95" customHeight="1" x14ac:dyDescent="0.25">
      <c r="A102" t="s">
        <v>36</v>
      </c>
      <c r="B102" t="s">
        <v>253</v>
      </c>
      <c r="C102" t="s">
        <v>1075</v>
      </c>
      <c r="D102" t="s">
        <v>1075</v>
      </c>
      <c r="E102" t="b">
        <v>0</v>
      </c>
      <c r="F102">
        <v>1001808</v>
      </c>
      <c r="G102" t="s">
        <v>1076</v>
      </c>
      <c r="H102" t="s">
        <v>1077</v>
      </c>
      <c r="I102" t="s">
        <v>42</v>
      </c>
      <c r="J102" t="s">
        <v>43</v>
      </c>
      <c r="K102" t="s">
        <v>1078</v>
      </c>
      <c r="L102" t="s">
        <v>217</v>
      </c>
      <c r="M102" t="s">
        <v>299</v>
      </c>
      <c r="N102" t="s">
        <v>47</v>
      </c>
      <c r="O102">
        <v>930022</v>
      </c>
      <c r="P102" t="s">
        <v>48</v>
      </c>
      <c r="Q102" t="s">
        <v>49</v>
      </c>
      <c r="R102" t="s">
        <v>50</v>
      </c>
      <c r="S102">
        <v>5</v>
      </c>
      <c r="T102" t="s">
        <v>72</v>
      </c>
      <c r="U102">
        <v>2</v>
      </c>
      <c r="V102" s="8" t="s">
        <v>1079</v>
      </c>
      <c r="W102" s="14">
        <v>2</v>
      </c>
      <c r="X102" t="s">
        <v>219</v>
      </c>
      <c r="Y102" s="14">
        <v>2</v>
      </c>
      <c r="AA102">
        <v>0</v>
      </c>
      <c r="AC102" s="14">
        <v>2</v>
      </c>
      <c r="AD102" t="s">
        <v>219</v>
      </c>
      <c r="AE102" s="14">
        <v>2</v>
      </c>
      <c r="AF102" t="s">
        <v>219</v>
      </c>
      <c r="AG102">
        <v>0</v>
      </c>
      <c r="AI102">
        <v>2</v>
      </c>
      <c r="AJ102" s="8" t="s">
        <v>1080</v>
      </c>
      <c r="AK102">
        <v>2</v>
      </c>
      <c r="AL102" s="8" t="s">
        <v>1081</v>
      </c>
      <c r="AM102">
        <v>2</v>
      </c>
      <c r="AO102">
        <v>2</v>
      </c>
      <c r="AQ102">
        <v>2</v>
      </c>
      <c r="AS102">
        <v>2</v>
      </c>
      <c r="AU102">
        <v>2</v>
      </c>
      <c r="AW102" s="1">
        <f t="shared" si="2"/>
        <v>24</v>
      </c>
    </row>
    <row r="103" spans="1:49" ht="23.1" customHeight="1" x14ac:dyDescent="0.25">
      <c r="A103" t="s">
        <v>36</v>
      </c>
      <c r="B103" t="s">
        <v>461</v>
      </c>
      <c r="C103" t="s">
        <v>822</v>
      </c>
      <c r="D103" t="s">
        <v>1082</v>
      </c>
      <c r="E103" t="b">
        <v>0</v>
      </c>
      <c r="F103">
        <v>278865</v>
      </c>
      <c r="G103" t="s">
        <v>1083</v>
      </c>
      <c r="H103" t="s">
        <v>1084</v>
      </c>
      <c r="I103" t="s">
        <v>42</v>
      </c>
      <c r="J103" t="s">
        <v>43</v>
      </c>
      <c r="K103" t="s">
        <v>1085</v>
      </c>
      <c r="L103" t="s">
        <v>851</v>
      </c>
      <c r="M103" t="s">
        <v>156</v>
      </c>
      <c r="N103" t="s">
        <v>47</v>
      </c>
      <c r="O103">
        <v>183776</v>
      </c>
      <c r="P103" t="s">
        <v>48</v>
      </c>
      <c r="Q103" t="s">
        <v>49</v>
      </c>
      <c r="R103" t="s">
        <v>71</v>
      </c>
      <c r="S103">
        <v>2</v>
      </c>
      <c r="T103" t="s">
        <v>72</v>
      </c>
      <c r="U103">
        <v>1</v>
      </c>
      <c r="V103" s="8" t="s">
        <v>1086</v>
      </c>
      <c r="W103">
        <v>2</v>
      </c>
      <c r="X103" t="s">
        <v>219</v>
      </c>
      <c r="Y103" s="14">
        <v>2</v>
      </c>
      <c r="AA103">
        <v>1</v>
      </c>
      <c r="AB103" t="s">
        <v>1087</v>
      </c>
      <c r="AC103">
        <v>2</v>
      </c>
      <c r="AD103" t="s">
        <v>219</v>
      </c>
      <c r="AE103">
        <v>2</v>
      </c>
      <c r="AF103" t="s">
        <v>219</v>
      </c>
      <c r="AG103">
        <v>1</v>
      </c>
      <c r="AH103" s="8" t="s">
        <v>1088</v>
      </c>
      <c r="AI103">
        <v>1</v>
      </c>
      <c r="AJ103" t="s">
        <v>1089</v>
      </c>
      <c r="AK103">
        <v>0</v>
      </c>
      <c r="AM103">
        <v>2</v>
      </c>
      <c r="AO103">
        <v>2</v>
      </c>
      <c r="AQ103">
        <v>2</v>
      </c>
      <c r="AS103">
        <v>2</v>
      </c>
      <c r="AU103">
        <v>2</v>
      </c>
      <c r="AW103" s="1">
        <f t="shared" si="2"/>
        <v>22</v>
      </c>
    </row>
    <row r="104" spans="1:49" ht="21.95" customHeight="1" x14ac:dyDescent="0.25">
      <c r="A104" t="s">
        <v>36</v>
      </c>
      <c r="B104" t="s">
        <v>37</v>
      </c>
      <c r="C104" t="s">
        <v>1090</v>
      </c>
      <c r="D104" t="s">
        <v>1091</v>
      </c>
      <c r="E104" t="b">
        <v>0</v>
      </c>
      <c r="F104">
        <v>1223324</v>
      </c>
      <c r="G104" t="s">
        <v>1092</v>
      </c>
      <c r="H104" t="s">
        <v>1093</v>
      </c>
      <c r="I104" t="s">
        <v>42</v>
      </c>
      <c r="J104" t="s">
        <v>43</v>
      </c>
      <c r="K104" t="s">
        <v>1094</v>
      </c>
      <c r="L104" t="s">
        <v>1095</v>
      </c>
      <c r="M104" t="s">
        <v>89</v>
      </c>
      <c r="N104" t="s">
        <v>47</v>
      </c>
      <c r="O104">
        <v>878779</v>
      </c>
      <c r="P104" t="s">
        <v>48</v>
      </c>
      <c r="Q104" t="s">
        <v>49</v>
      </c>
      <c r="R104" t="s">
        <v>71</v>
      </c>
      <c r="S104" t="s">
        <v>51</v>
      </c>
      <c r="T104" t="s">
        <v>52</v>
      </c>
      <c r="U104">
        <v>0</v>
      </c>
      <c r="W104">
        <v>2</v>
      </c>
      <c r="X104" t="s">
        <v>1096</v>
      </c>
      <c r="Y104">
        <v>2</v>
      </c>
      <c r="Z104" s="8" t="s">
        <v>441</v>
      </c>
      <c r="AA104">
        <v>1</v>
      </c>
      <c r="AB104" t="s">
        <v>1097</v>
      </c>
      <c r="AC104">
        <v>1</v>
      </c>
      <c r="AD104" s="8" t="s">
        <v>1098</v>
      </c>
      <c r="AE104">
        <v>2</v>
      </c>
      <c r="AF104" s="8" t="s">
        <v>441</v>
      </c>
      <c r="AG104">
        <v>0</v>
      </c>
      <c r="AI104">
        <v>0</v>
      </c>
      <c r="AK104">
        <v>2</v>
      </c>
      <c r="AL104" s="8" t="s">
        <v>1099</v>
      </c>
      <c r="AM104">
        <v>2</v>
      </c>
      <c r="AN104" s="8" t="s">
        <v>441</v>
      </c>
      <c r="AO104">
        <v>2</v>
      </c>
      <c r="AP104" s="8" t="s">
        <v>441</v>
      </c>
      <c r="AQ104">
        <v>2</v>
      </c>
      <c r="AR104" s="8" t="s">
        <v>441</v>
      </c>
      <c r="AS104">
        <v>2</v>
      </c>
      <c r="AT104" t="s">
        <v>1100</v>
      </c>
      <c r="AU104">
        <v>2</v>
      </c>
      <c r="AV104" s="8" t="s">
        <v>441</v>
      </c>
      <c r="AW104" s="1">
        <f t="shared" si="2"/>
        <v>20</v>
      </c>
    </row>
    <row r="105" spans="1:49" x14ac:dyDescent="0.25">
      <c r="A105" t="s">
        <v>36</v>
      </c>
      <c r="B105" t="s">
        <v>253</v>
      </c>
      <c r="C105" t="s">
        <v>1101</v>
      </c>
      <c r="D105" t="s">
        <v>1101</v>
      </c>
      <c r="E105" t="b">
        <v>0</v>
      </c>
      <c r="F105">
        <v>68288</v>
      </c>
      <c r="G105" t="s">
        <v>1102</v>
      </c>
      <c r="H105" t="s">
        <v>1103</v>
      </c>
      <c r="I105" t="s">
        <v>42</v>
      </c>
      <c r="J105" t="s">
        <v>43</v>
      </c>
      <c r="K105" t="s">
        <v>1104</v>
      </c>
      <c r="L105" t="s">
        <v>217</v>
      </c>
      <c r="M105" t="s">
        <v>89</v>
      </c>
      <c r="N105" t="s">
        <v>47</v>
      </c>
      <c r="O105">
        <v>68288</v>
      </c>
      <c r="P105" t="s">
        <v>48</v>
      </c>
      <c r="Q105" t="s">
        <v>49</v>
      </c>
      <c r="R105" t="s">
        <v>50</v>
      </c>
      <c r="S105">
        <v>5</v>
      </c>
      <c r="T105" t="s">
        <v>72</v>
      </c>
      <c r="U105" s="6">
        <v>1</v>
      </c>
      <c r="V105" t="s">
        <v>300</v>
      </c>
      <c r="W105" s="6">
        <v>2</v>
      </c>
      <c r="X105" s="7" t="s">
        <v>301</v>
      </c>
      <c r="Y105" s="6">
        <v>2</v>
      </c>
      <c r="Z105" s="7"/>
      <c r="AA105" s="6">
        <v>1</v>
      </c>
      <c r="AB105" t="s">
        <v>302</v>
      </c>
      <c r="AC105" s="6">
        <v>1</v>
      </c>
      <c r="AD105" t="s">
        <v>303</v>
      </c>
      <c r="AE105" s="6">
        <v>0</v>
      </c>
      <c r="AF105" s="7"/>
      <c r="AG105" s="6">
        <v>0</v>
      </c>
      <c r="AH105" s="7"/>
      <c r="AI105" s="6">
        <v>0</v>
      </c>
      <c r="AJ105" s="7"/>
      <c r="AK105" s="6">
        <v>2</v>
      </c>
      <c r="AL105" t="s">
        <v>304</v>
      </c>
      <c r="AM105" s="6">
        <v>2</v>
      </c>
      <c r="AN105" s="7"/>
      <c r="AO105" s="6">
        <v>2</v>
      </c>
      <c r="AP105" s="7"/>
      <c r="AQ105" s="6">
        <v>2</v>
      </c>
      <c r="AR105" s="7"/>
      <c r="AS105" s="6">
        <v>2</v>
      </c>
      <c r="AT105" s="7"/>
      <c r="AU105" s="6">
        <v>2</v>
      </c>
      <c r="AV105" s="7"/>
      <c r="AW105" s="1">
        <f t="shared" si="2"/>
        <v>19</v>
      </c>
    </row>
    <row r="106" spans="1:49" ht="24.75" customHeight="1" x14ac:dyDescent="0.25">
      <c r="A106" t="s">
        <v>36</v>
      </c>
      <c r="B106" t="s">
        <v>253</v>
      </c>
      <c r="C106" t="s">
        <v>1105</v>
      </c>
      <c r="D106" t="s">
        <v>1105</v>
      </c>
      <c r="E106" t="b">
        <v>0</v>
      </c>
      <c r="F106">
        <v>5172697</v>
      </c>
      <c r="G106" t="s">
        <v>1106</v>
      </c>
      <c r="H106" t="s">
        <v>1107</v>
      </c>
      <c r="I106" t="s">
        <v>67</v>
      </c>
      <c r="J106" t="s">
        <v>43</v>
      </c>
      <c r="K106" t="s">
        <v>1108</v>
      </c>
      <c r="L106" t="s">
        <v>1109</v>
      </c>
      <c r="M106" t="s">
        <v>122</v>
      </c>
      <c r="N106" t="s">
        <v>47</v>
      </c>
      <c r="O106">
        <v>4360484</v>
      </c>
      <c r="P106" t="s">
        <v>48</v>
      </c>
      <c r="Q106" t="s">
        <v>49</v>
      </c>
      <c r="R106" t="s">
        <v>71</v>
      </c>
      <c r="S106">
        <v>5</v>
      </c>
      <c r="T106" t="s">
        <v>72</v>
      </c>
      <c r="U106">
        <v>2</v>
      </c>
      <c r="V106" t="s">
        <v>1110</v>
      </c>
      <c r="W106" s="20">
        <v>2</v>
      </c>
      <c r="X106" t="s">
        <v>301</v>
      </c>
      <c r="Y106" s="14">
        <v>2</v>
      </c>
      <c r="AA106">
        <v>2</v>
      </c>
      <c r="AB106" s="8" t="s">
        <v>1111</v>
      </c>
      <c r="AC106">
        <v>0</v>
      </c>
      <c r="AE106">
        <v>2</v>
      </c>
      <c r="AF106" s="8" t="s">
        <v>1112</v>
      </c>
      <c r="AG106">
        <v>2</v>
      </c>
      <c r="AH106" s="8" t="s">
        <v>1113</v>
      </c>
      <c r="AI106">
        <v>2</v>
      </c>
      <c r="AJ106" s="8" t="s">
        <v>1114</v>
      </c>
      <c r="AK106">
        <v>1</v>
      </c>
      <c r="AL106" s="8" t="s">
        <v>1115</v>
      </c>
      <c r="AM106">
        <v>2</v>
      </c>
      <c r="AO106">
        <v>2</v>
      </c>
      <c r="AQ106">
        <v>2</v>
      </c>
      <c r="AS106">
        <v>2</v>
      </c>
      <c r="AU106">
        <v>2</v>
      </c>
      <c r="AW106" s="1">
        <f t="shared" si="2"/>
        <v>25</v>
      </c>
    </row>
    <row r="107" spans="1:49" ht="18" customHeight="1" x14ac:dyDescent="0.25">
      <c r="A107" t="s">
        <v>36</v>
      </c>
      <c r="B107" t="s">
        <v>167</v>
      </c>
      <c r="C107" t="s">
        <v>1116</v>
      </c>
      <c r="D107" t="s">
        <v>1116</v>
      </c>
      <c r="E107" t="b">
        <v>0</v>
      </c>
      <c r="F107">
        <v>80538</v>
      </c>
      <c r="G107" t="s">
        <v>1117</v>
      </c>
      <c r="H107" t="s">
        <v>1118</v>
      </c>
      <c r="I107" t="s">
        <v>42</v>
      </c>
      <c r="J107" t="s">
        <v>43</v>
      </c>
      <c r="K107" t="s">
        <v>1119</v>
      </c>
      <c r="L107" t="s">
        <v>217</v>
      </c>
      <c r="M107" t="s">
        <v>299</v>
      </c>
      <c r="N107" t="s">
        <v>47</v>
      </c>
      <c r="O107">
        <v>80538</v>
      </c>
      <c r="P107" t="s">
        <v>48</v>
      </c>
      <c r="Q107" t="s">
        <v>49</v>
      </c>
      <c r="R107" t="s">
        <v>50</v>
      </c>
      <c r="S107">
        <v>5</v>
      </c>
      <c r="T107" t="s">
        <v>72</v>
      </c>
      <c r="U107">
        <v>2</v>
      </c>
      <c r="V107" s="8" t="s">
        <v>1120</v>
      </c>
      <c r="W107" s="20">
        <v>2</v>
      </c>
      <c r="X107" t="s">
        <v>301</v>
      </c>
      <c r="Y107" s="14">
        <v>2</v>
      </c>
      <c r="AA107">
        <v>2</v>
      </c>
      <c r="AB107" s="8" t="s">
        <v>1121</v>
      </c>
      <c r="AC107">
        <v>1</v>
      </c>
      <c r="AD107" s="8" t="s">
        <v>1122</v>
      </c>
      <c r="AE107">
        <v>0</v>
      </c>
      <c r="AG107">
        <v>0</v>
      </c>
      <c r="AI107">
        <v>2</v>
      </c>
      <c r="AJ107" t="s">
        <v>1123</v>
      </c>
      <c r="AK107">
        <v>2</v>
      </c>
      <c r="AL107" s="8" t="s">
        <v>1124</v>
      </c>
      <c r="AM107">
        <v>2</v>
      </c>
      <c r="AO107">
        <v>2</v>
      </c>
      <c r="AQ107">
        <v>2</v>
      </c>
      <c r="AS107">
        <v>2</v>
      </c>
      <c r="AU107">
        <v>2</v>
      </c>
      <c r="AW107" s="1">
        <f>SUM(V107:AU107)</f>
        <v>21</v>
      </c>
    </row>
    <row r="108" spans="1:49" ht="17.100000000000001" customHeight="1" x14ac:dyDescent="0.25">
      <c r="A108" t="s">
        <v>36</v>
      </c>
      <c r="B108" t="s">
        <v>469</v>
      </c>
      <c r="C108" t="s">
        <v>1125</v>
      </c>
      <c r="D108" t="s">
        <v>1125</v>
      </c>
      <c r="E108" t="b">
        <v>0</v>
      </c>
      <c r="F108">
        <v>753975</v>
      </c>
      <c r="G108" t="s">
        <v>1126</v>
      </c>
      <c r="H108" t="s">
        <v>1127</v>
      </c>
      <c r="I108" t="s">
        <v>42</v>
      </c>
      <c r="J108" t="s">
        <v>43</v>
      </c>
      <c r="K108" t="s">
        <v>1128</v>
      </c>
      <c r="L108" t="s">
        <v>1129</v>
      </c>
      <c r="M108" t="s">
        <v>1130</v>
      </c>
      <c r="N108" t="s">
        <v>47</v>
      </c>
      <c r="O108">
        <v>554972</v>
      </c>
      <c r="P108" t="s">
        <v>48</v>
      </c>
      <c r="Q108" t="s">
        <v>49</v>
      </c>
      <c r="R108" t="s">
        <v>50</v>
      </c>
      <c r="S108">
        <v>3</v>
      </c>
      <c r="T108" t="s">
        <v>72</v>
      </c>
      <c r="U108">
        <v>0</v>
      </c>
      <c r="W108">
        <v>2</v>
      </c>
      <c r="X108" s="8" t="s">
        <v>1131</v>
      </c>
      <c r="Y108" s="14">
        <v>2</v>
      </c>
      <c r="AA108">
        <v>1</v>
      </c>
      <c r="AB108" s="8" t="s">
        <v>1132</v>
      </c>
      <c r="AC108">
        <v>2</v>
      </c>
      <c r="AD108" s="8" t="s">
        <v>1133</v>
      </c>
      <c r="AE108">
        <v>1</v>
      </c>
      <c r="AF108" s="8" t="s">
        <v>1134</v>
      </c>
      <c r="AG108">
        <v>2</v>
      </c>
      <c r="AH108" s="8" t="s">
        <v>1135</v>
      </c>
      <c r="AI108">
        <v>2</v>
      </c>
      <c r="AJ108" s="8" t="s">
        <v>1136</v>
      </c>
      <c r="AK108">
        <v>2</v>
      </c>
      <c r="AL108" s="8" t="s">
        <v>1137</v>
      </c>
      <c r="AM108">
        <v>2</v>
      </c>
      <c r="AO108">
        <v>2</v>
      </c>
      <c r="AQ108">
        <v>2</v>
      </c>
      <c r="AS108">
        <v>2</v>
      </c>
      <c r="AU108">
        <v>2</v>
      </c>
      <c r="AW108" s="1">
        <f t="shared" si="2"/>
        <v>24</v>
      </c>
    </row>
  </sheetData>
  <autoFilter ref="A1:AX108" xr:uid="{33E33A82-6977-0743-9232-D64B802F3747}"/>
  <hyperlinks>
    <hyperlink ref="K29" r:id="rId1" xr:uid="{B253E3C0-EDC5-4B9B-BE66-D31783BDDDF2}"/>
    <hyperlink ref="K11" r:id="rId2" xr:uid="{0E34FEBD-A318-4772-988B-C840FEE4B6AC}"/>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overlap w calyx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Ning Lei</dc:creator>
  <cp:lastModifiedBy>Ning Lei</cp:lastModifiedBy>
  <dcterms:created xsi:type="dcterms:W3CDTF">2025-07-23T16:04:54Z</dcterms:created>
  <dcterms:modified xsi:type="dcterms:W3CDTF">2025-07-23T16:05:56Z</dcterms:modified>
</cp:coreProperties>
</file>