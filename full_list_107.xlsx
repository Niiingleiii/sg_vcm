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g.lei/Desktop/DT/"/>
    </mc:Choice>
  </mc:AlternateContent>
  <xr:revisionPtr revIDLastSave="0" documentId="13_ncr:1_{18F300DA-123D-5D4F-AFEA-F3C1DAFD4FA2}" xr6:coauthVersionLast="47" xr6:coauthVersionMax="47" xr10:uidLastSave="{00000000-0000-0000-0000-000000000000}"/>
  <bookViews>
    <workbookView xWindow="-320" yWindow="1880" windowWidth="30240" windowHeight="17480" xr2:uid="{8B453680-E0F6-4E4D-9584-7CAFE7BD78EB}"/>
  </bookViews>
  <sheets>
    <sheet name="overlap w calyx" sheetId="1" r:id="rId1"/>
  </sheets>
  <definedNames>
    <definedName name="_xlnm._FilterDatabase" localSheetId="0" hidden="1">'overlap w calyx'!$A$1:$Z$108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8" i="1" l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<sst xmlns="http://schemas.openxmlformats.org/spreadsheetml/2006/main" count="596" uniqueCount="230">
  <si>
    <t>country</t>
  </si>
  <si>
    <t>first_issuance_at</t>
  </si>
  <si>
    <t>first_retirement_at</t>
  </si>
  <si>
    <t>issued</t>
  </si>
  <si>
    <t>project_id</t>
  </si>
  <si>
    <t>project_type</t>
  </si>
  <si>
    <t>proponent</t>
  </si>
  <si>
    <t>retired</t>
  </si>
  <si>
    <t>India</t>
  </si>
  <si>
    <t>VCS1015</t>
  </si>
  <si>
    <t>Afforestation + Reforestation</t>
  </si>
  <si>
    <t>Indian Farm Forestry Development Co-operative Limited</t>
  </si>
  <si>
    <t>None</t>
  </si>
  <si>
    <t>Peru</t>
  </si>
  <si>
    <t>VCS1067</t>
  </si>
  <si>
    <t>REDD+</t>
  </si>
  <si>
    <t>AsociaciÃ³n para la InvestigaciÃ³n y Desarrollo Integral â€“ AIDER</t>
  </si>
  <si>
    <t>CCB</t>
  </si>
  <si>
    <t>Nicaragua</t>
  </si>
  <si>
    <t>VCS1085</t>
  </si>
  <si>
    <t>EcoPlanet Bamboo Group, LLC</t>
  </si>
  <si>
    <t>Brazil</t>
  </si>
  <si>
    <t>VCS1094</t>
  </si>
  <si>
    <t>Multiple Proponents</t>
  </si>
  <si>
    <t>Social Carbon</t>
  </si>
  <si>
    <t>Cambodia</t>
  </si>
  <si>
    <t>VCS1748</t>
  </si>
  <si>
    <t>Royal Government of Cambodia (RGC), Ministry of Environment</t>
  </si>
  <si>
    <t>SD VISta</t>
  </si>
  <si>
    <t>VCS944</t>
  </si>
  <si>
    <t>Conservation International Foundation</t>
  </si>
  <si>
    <t>Paraguay</t>
  </si>
  <si>
    <t>VCS2469</t>
  </si>
  <si>
    <t>Forestal Azul S.A.</t>
  </si>
  <si>
    <t>Uganda</t>
  </si>
  <si>
    <t>VCS673</t>
  </si>
  <si>
    <t>PRIMAKLIMA e.V.</t>
  </si>
  <si>
    <t>VCS1953</t>
  </si>
  <si>
    <t>Floresta Verde ServiÃ§os Ltda.</t>
  </si>
  <si>
    <t>VCS799</t>
  </si>
  <si>
    <t>Busoga Forestry Co. Ltd (Subsidiary Green Resources)</t>
  </si>
  <si>
    <t>VCS2497</t>
  </si>
  <si>
    <t>Clean Air Action Corporation</t>
  </si>
  <si>
    <t>Uruguay</t>
  </si>
  <si>
    <t>VCS2992</t>
  </si>
  <si>
    <t>Pike Carbosur S.A.</t>
  </si>
  <si>
    <t>Indonesia</t>
  </si>
  <si>
    <t>VCS674</t>
  </si>
  <si>
    <t>InfiniteEARTH</t>
  </si>
  <si>
    <t>Kenya</t>
  </si>
  <si>
    <t>VCS612</t>
  </si>
  <si>
    <t>Wildlife Works Carbon LLC</t>
  </si>
  <si>
    <t>VCS562</t>
  </si>
  <si>
    <t>VCS1496</t>
  </si>
  <si>
    <t>The PURE PROJECT SAS</t>
  </si>
  <si>
    <t>VCS2498</t>
  </si>
  <si>
    <t>Miller Forest Investment AG</t>
  </si>
  <si>
    <t>VCS597</t>
  </si>
  <si>
    <t>VCS1360</t>
  </si>
  <si>
    <t>VCS1477</t>
  </si>
  <si>
    <t>PT. Rimba Makmur Utama (PT. RMU)</t>
  </si>
  <si>
    <t>Ghana</t>
  </si>
  <si>
    <t>VCS987</t>
  </si>
  <si>
    <t>Form Ghana Ltd</t>
  </si>
  <si>
    <t>VCS963</t>
  </si>
  <si>
    <t>VCS1328</t>
  </si>
  <si>
    <t>Livelihoods Fund SICAV SIF</t>
  </si>
  <si>
    <t>VCS1650</t>
  </si>
  <si>
    <t>VCS993</t>
  </si>
  <si>
    <t>Colombia</t>
  </si>
  <si>
    <t>VCS1399</t>
  </si>
  <si>
    <t>Cabildo Mayor IndÃ­gena de MutatÃ¡</t>
  </si>
  <si>
    <t>VCS594</t>
  </si>
  <si>
    <t>VCS737</t>
  </si>
  <si>
    <t>Sierra Leone</t>
  </si>
  <si>
    <t>VCS1201</t>
  </si>
  <si>
    <t>Gola Rainforest Conservation LG</t>
  </si>
  <si>
    <t>Mexico</t>
  </si>
  <si>
    <t>VCS1740</t>
  </si>
  <si>
    <t>Agropecuaria Santa Genoveva S.A.P.I. de C.V</t>
  </si>
  <si>
    <t>VCS1566</t>
  </si>
  <si>
    <t>VCS2401</t>
  </si>
  <si>
    <t>Miro Forestry Developments Limited</t>
  </si>
  <si>
    <t>VCS1391</t>
  </si>
  <si>
    <t>Guatemala</t>
  </si>
  <si>
    <t>VCS1622</t>
  </si>
  <si>
    <t>Fundacion para el Ecodesarrollo y la Conservacion [FUNDAECO]</t>
  </si>
  <si>
    <t>China</t>
  </si>
  <si>
    <t>VCS2391</t>
  </si>
  <si>
    <t>Tianshui Forestry Science Institute</t>
  </si>
  <si>
    <t>Tanzania</t>
  </si>
  <si>
    <t>VCS1900</t>
  </si>
  <si>
    <t>Carbon Tanzania</t>
  </si>
  <si>
    <t>VCS2405</t>
  </si>
  <si>
    <t>Dingxi City Chankou Forestry Proving Ground</t>
  </si>
  <si>
    <t>Estonia</t>
  </si>
  <si>
    <t>VCS3677</t>
  </si>
  <si>
    <t>ECOBASE (PROJECT SPRUCE OÃœ)</t>
  </si>
  <si>
    <t>VCS1686</t>
  </si>
  <si>
    <t>Agrocortex Madeiras do Acre Agroflorestal Ltda.</t>
  </si>
  <si>
    <t>VCS985</t>
  </si>
  <si>
    <t>CIMA, Cordillera Azul</t>
  </si>
  <si>
    <t>VCS996</t>
  </si>
  <si>
    <t>VCS1112</t>
  </si>
  <si>
    <t>Ethiopia</t>
  </si>
  <si>
    <t>VCS1340</t>
  </si>
  <si>
    <t>Oromia Forest and Wildlife Enterprise</t>
  </si>
  <si>
    <t>VCS2361</t>
  </si>
  <si>
    <t>Forestal San Pedro S.A.</t>
  </si>
  <si>
    <t>VCS959</t>
  </si>
  <si>
    <t>GuanarÃ© S.A.</t>
  </si>
  <si>
    <t>VCS2369</t>
  </si>
  <si>
    <t>Forestal Apepu</t>
  </si>
  <si>
    <t>VCS2512</t>
  </si>
  <si>
    <t>Forest First Colombia S.A.S.</t>
  </si>
  <si>
    <t>VCS1897</t>
  </si>
  <si>
    <t>VCS2370</t>
  </si>
  <si>
    <t>Zhangye Academy of Forestry Sciences</t>
  </si>
  <si>
    <t>VCS868</t>
  </si>
  <si>
    <t>Bosques AmazÃ³nicos</t>
  </si>
  <si>
    <t>Guinea-Bissau</t>
  </si>
  <si>
    <t>VCS2324</t>
  </si>
  <si>
    <t>BioGuinea Foundation</t>
  </si>
  <si>
    <t>VCS2833</t>
  </si>
  <si>
    <t>CropZone Agro Forestry Private Limited</t>
  </si>
  <si>
    <t>VCS875</t>
  </si>
  <si>
    <t>VCS665</t>
  </si>
  <si>
    <t>VCS1400</t>
  </si>
  <si>
    <t>Concosta Community Council</t>
  </si>
  <si>
    <t>Malawi</t>
  </si>
  <si>
    <t>VCS1168</t>
  </si>
  <si>
    <t>VCS1689</t>
  </si>
  <si>
    <t>The Royal Government of Cambodia, Forestry Administration</t>
  </si>
  <si>
    <t>VCS1218</t>
  </si>
  <si>
    <t>VCS995</t>
  </si>
  <si>
    <t>VCS1530</t>
  </si>
  <si>
    <t>VCS960</t>
  </si>
  <si>
    <t>EUCAPINE S.R.L</t>
  </si>
  <si>
    <t>VCS844</t>
  </si>
  <si>
    <t>VCS958</t>
  </si>
  <si>
    <t>VCS1558</t>
  </si>
  <si>
    <t>Panama</t>
  </si>
  <si>
    <t>VCS2481</t>
  </si>
  <si>
    <t>Futuro Forestal, S.A.</t>
  </si>
  <si>
    <t>VCS2576</t>
  </si>
  <si>
    <t>Fideicomiso Financiero Forestal Montes del Este</t>
  </si>
  <si>
    <t>VCS1115</t>
  </si>
  <si>
    <t>VCS1543</t>
  </si>
  <si>
    <t>Agroempresa Forestal S.A.</t>
  </si>
  <si>
    <t>VCS1389</t>
  </si>
  <si>
    <t>VCS2479</t>
  </si>
  <si>
    <t>Mahogani Vishwa Agro Pvt Ltd</t>
  </si>
  <si>
    <t>VCS1571</t>
  </si>
  <si>
    <t>VCS2418</t>
  </si>
  <si>
    <t>Lanzhou Landscaping And Greening Service Center</t>
  </si>
  <si>
    <t>VCS1361</t>
  </si>
  <si>
    <t>VCS1392</t>
  </si>
  <si>
    <t>Consejo Comunitario de Cajambre</t>
  </si>
  <si>
    <t>VCS2375</t>
  </si>
  <si>
    <t>Jilin Forest Industry Environmental Technology Co., Ltd.</t>
  </si>
  <si>
    <t>VCS2338</t>
  </si>
  <si>
    <t>VCS1396</t>
  </si>
  <si>
    <t>VCS826</t>
  </si>
  <si>
    <t>VCS796</t>
  </si>
  <si>
    <t>VCS1826</t>
  </si>
  <si>
    <t>Qinghai Forestry Ecological Construction and Investment Co., Ltd.</t>
  </si>
  <si>
    <t>VCS1769</t>
  </si>
  <si>
    <t>VCS1317</t>
  </si>
  <si>
    <t>VCS2410</t>
  </si>
  <si>
    <t>VCS2451</t>
  </si>
  <si>
    <t>Loufan County Forestry Workstation</t>
  </si>
  <si>
    <t>VCS1682</t>
  </si>
  <si>
    <t>VCS1811</t>
  </si>
  <si>
    <t>VCS576</t>
  </si>
  <si>
    <t>Asorpar Ltd.</t>
  </si>
  <si>
    <t>VCS1695</t>
  </si>
  <si>
    <t>Local Environmental Authority of Chivor (CORPOCHIVORâ€“ CorporaciÃ³n AutÃ³noma Regional de Chivor)</t>
  </si>
  <si>
    <t>VCS1395</t>
  </si>
  <si>
    <t>VCS2339</t>
  </si>
  <si>
    <t>VCS2373</t>
  </si>
  <si>
    <t>EcolÃ³gica Assessoria Ltda.</t>
  </si>
  <si>
    <t>Zambia</t>
  </si>
  <si>
    <t>VCS1202</t>
  </si>
  <si>
    <t>BioCarbon Partners</t>
  </si>
  <si>
    <t>Mozambique</t>
  </si>
  <si>
    <t>VCS2085</t>
  </si>
  <si>
    <t>Agrimoz S.a r.l.</t>
  </si>
  <si>
    <t>VCS595</t>
  </si>
  <si>
    <t>Papua New Guinea</t>
  </si>
  <si>
    <t>VCS2293</t>
  </si>
  <si>
    <t>NIHT Inc.</t>
  </si>
  <si>
    <t>VCS1390</t>
  </si>
  <si>
    <t>VCS2079</t>
  </si>
  <si>
    <t>AGROBUSINESS FLORESTAS E PECUARIA LTDA</t>
  </si>
  <si>
    <t>Laos</t>
  </si>
  <si>
    <t>VCS2367</t>
  </si>
  <si>
    <t>Burapha Agroforestry Co. Ltd</t>
  </si>
  <si>
    <t>VCS1113</t>
  </si>
  <si>
    <t>VCS1684</t>
  </si>
  <si>
    <t>Lao Thai Hua Rubber Co. Ltd</t>
  </si>
  <si>
    <t>VCS899</t>
  </si>
  <si>
    <t>VCS1896</t>
  </si>
  <si>
    <t>VCS2404</t>
  </si>
  <si>
    <t>Mangalam Timber Unit of Mangalam Cement Limited</t>
  </si>
  <si>
    <t>VCS596</t>
  </si>
  <si>
    <t>VCS1408</t>
  </si>
  <si>
    <t>Chyulu Hills Conservation Trust</t>
  </si>
  <si>
    <t>VCS827</t>
  </si>
  <si>
    <t>VCS142</t>
  </si>
  <si>
    <t>Green Resources Tanzania Ltd (GRL)</t>
  </si>
  <si>
    <t>SD Vista</t>
  </si>
  <si>
    <t>ghg</t>
  </si>
  <si>
    <t>sdg</t>
  </si>
  <si>
    <t>gender</t>
  </si>
  <si>
    <t>labor</t>
  </si>
  <si>
    <t>biodiversity</t>
  </si>
  <si>
    <t>resource</t>
  </si>
  <si>
    <t>pollution</t>
  </si>
  <si>
    <t>iplc</t>
  </si>
  <si>
    <t>cultural</t>
  </si>
  <si>
    <t>hss</t>
  </si>
  <si>
    <t>benefit</t>
  </si>
  <si>
    <t>land</t>
  </si>
  <si>
    <t>assessment</t>
  </si>
  <si>
    <t>stakeholder</t>
  </si>
  <si>
    <t>mrv</t>
  </si>
  <si>
    <t>grievance</t>
  </si>
  <si>
    <t>total</t>
  </si>
  <si>
    <t>Not certified</t>
  </si>
  <si>
    <t>sdg_rating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</si>
</sst>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0" xfId="0" applyFill="1" applyAlignment="1">
      <alignment wrapText="1"/>
    </xf>
    <xf numFmtId="0" fontId="2" fillId="0" borderId="0" xfId="0" applyFont="1"/>
    <xf numFmtId="14" fontId="0" fillId="2" borderId="1" xfId="0" applyNumberFormat="1" applyFill="1" applyBorder="1"/>
    <xf numFmtId="14" fontId="0" fillId="0" borderId="0" xfId="0" applyNumberForma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1C49D-D9A4-41AD-A196-E4D3DA9CD051}">
  <dimension ref="A1:Z108"/>
  <sheetViews>
    <sheetView tabSelected="1" zoomScale="75" zoomScaleNormal="85" workbookViewId="0">
      <pane ySplit="1" topLeftCell="A2" activePane="bottomLeft" state="frozen"/>
      <selection activeCell="B1" sqref="B1"/>
      <selection pane="bottomLeft" activeCell="J2" sqref="J2"/>
    </sheetView>
  </sheetViews>
  <sheetFormatPr baseColWidth="10" defaultColWidth="11" defaultRowHeight="16" x14ac:dyDescent="0.2"/>
  <cols>
    <col min="2" max="3" width="11" style="13" customWidth="1"/>
    <col min="4" max="4" width="11" customWidth="1"/>
    <col min="7" max="7" width="66" customWidth="1"/>
    <col min="8" max="8" width="18.6640625" customWidth="1"/>
    <col min="9" max="10" width="11" customWidth="1"/>
  </cols>
  <sheetData>
    <row r="1" spans="1:26" ht="25" customHeight="1" x14ac:dyDescent="0.2">
      <c r="A1" s="1" t="s">
        <v>0</v>
      </c>
      <c r="B1" s="14" t="s">
        <v>1</v>
      </c>
      <c r="C1" s="1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211</v>
      </c>
      <c r="J1" s="1" t="s">
        <v>229</v>
      </c>
      <c r="K1" s="1" t="s">
        <v>212</v>
      </c>
      <c r="L1" s="2" t="s">
        <v>213</v>
      </c>
      <c r="M1" s="2" t="s">
        <v>214</v>
      </c>
      <c r="N1" s="2" t="s">
        <v>215</v>
      </c>
      <c r="O1" s="2" t="s">
        <v>216</v>
      </c>
      <c r="P1" s="2" t="s">
        <v>217</v>
      </c>
      <c r="Q1" s="2" t="s">
        <v>218</v>
      </c>
      <c r="R1" s="2" t="s">
        <v>219</v>
      </c>
      <c r="S1" s="2" t="s">
        <v>220</v>
      </c>
      <c r="T1" s="2" t="s">
        <v>221</v>
      </c>
      <c r="U1" s="2" t="s">
        <v>222</v>
      </c>
      <c r="V1" s="2" t="s">
        <v>223</v>
      </c>
      <c r="W1" s="2" t="s">
        <v>224</v>
      </c>
      <c r="X1" s="2" t="s">
        <v>225</v>
      </c>
      <c r="Y1" s="2" t="s">
        <v>226</v>
      </c>
      <c r="Z1" s="3" t="s">
        <v>227</v>
      </c>
    </row>
    <row r="2" spans="1:26" ht="25" customHeight="1" x14ac:dyDescent="0.2">
      <c r="A2" s="4" t="s">
        <v>8</v>
      </c>
      <c r="B2" s="12">
        <v>45105</v>
      </c>
      <c r="C2" s="12">
        <v>45310</v>
      </c>
      <c r="D2" s="4">
        <v>78003</v>
      </c>
      <c r="E2" s="4" t="s">
        <v>9</v>
      </c>
      <c r="F2" s="4" t="s">
        <v>10</v>
      </c>
      <c r="G2" s="4" t="s">
        <v>11</v>
      </c>
      <c r="H2" s="4">
        <v>48998</v>
      </c>
      <c r="I2" s="4">
        <v>2</v>
      </c>
      <c r="J2" s="4" t="s">
        <v>228</v>
      </c>
      <c r="K2" s="4" t="s">
        <v>12</v>
      </c>
      <c r="L2" s="5">
        <v>1</v>
      </c>
      <c r="M2" s="5">
        <v>0</v>
      </c>
      <c r="N2" s="5">
        <v>1</v>
      </c>
      <c r="O2" s="5">
        <v>0</v>
      </c>
      <c r="P2" s="5">
        <v>0</v>
      </c>
      <c r="Q2" s="5">
        <v>1</v>
      </c>
      <c r="R2" s="5">
        <v>0</v>
      </c>
      <c r="S2" s="5">
        <v>0</v>
      </c>
      <c r="T2" s="5">
        <v>2</v>
      </c>
      <c r="U2" s="5">
        <v>2</v>
      </c>
      <c r="V2" s="5">
        <v>2</v>
      </c>
      <c r="W2" s="5">
        <v>2</v>
      </c>
      <c r="X2" s="5">
        <v>2</v>
      </c>
      <c r="Y2" s="5">
        <v>2</v>
      </c>
      <c r="Z2" s="1">
        <f>L2+M2+N2+O2+P2+Q2+R2+S2+T2+U2+V2+W2+X2+Y2</f>
        <v>15</v>
      </c>
    </row>
    <row r="3" spans="1:26" ht="21" customHeight="1" x14ac:dyDescent="0.2">
      <c r="A3" s="4" t="s">
        <v>13</v>
      </c>
      <c r="B3" s="12">
        <v>41542</v>
      </c>
      <c r="C3" s="12">
        <v>41543</v>
      </c>
      <c r="D3" s="4">
        <v>4874608</v>
      </c>
      <c r="E3" s="4" t="s">
        <v>14</v>
      </c>
      <c r="F3" s="4" t="s">
        <v>15</v>
      </c>
      <c r="G3" s="4" t="s">
        <v>16</v>
      </c>
      <c r="H3" s="4">
        <v>4102490</v>
      </c>
      <c r="I3" s="4">
        <v>3</v>
      </c>
      <c r="J3" s="4">
        <v>3</v>
      </c>
      <c r="K3" s="4" t="s">
        <v>17</v>
      </c>
      <c r="L3" s="5">
        <v>1</v>
      </c>
      <c r="M3" s="5">
        <v>0</v>
      </c>
      <c r="N3" s="5">
        <v>2</v>
      </c>
      <c r="O3" s="5">
        <v>2</v>
      </c>
      <c r="P3" s="5">
        <v>0</v>
      </c>
      <c r="Q3" s="5">
        <v>1</v>
      </c>
      <c r="R3" s="5">
        <v>0</v>
      </c>
      <c r="S3" s="5">
        <v>1</v>
      </c>
      <c r="T3" s="5">
        <v>0</v>
      </c>
      <c r="U3" s="5">
        <v>0</v>
      </c>
      <c r="V3" s="5">
        <v>2</v>
      </c>
      <c r="W3" s="5">
        <v>2</v>
      </c>
      <c r="X3" s="5">
        <v>2</v>
      </c>
      <c r="Y3" s="5">
        <v>2</v>
      </c>
      <c r="Z3" s="1">
        <f>L3+M3+N3+O3+P3+Q3+R3+S3+T3+U3+V3+W3+X3+Y3</f>
        <v>15</v>
      </c>
    </row>
    <row r="4" spans="1:26" ht="20" customHeight="1" x14ac:dyDescent="0.2">
      <c r="A4" s="4" t="s">
        <v>18</v>
      </c>
      <c r="B4" s="12">
        <v>43915</v>
      </c>
      <c r="C4" s="12">
        <v>43915</v>
      </c>
      <c r="D4" s="4">
        <v>263426</v>
      </c>
      <c r="E4" s="4" t="s">
        <v>19</v>
      </c>
      <c r="F4" s="4" t="s">
        <v>10</v>
      </c>
      <c r="G4" s="4" t="s">
        <v>20</v>
      </c>
      <c r="H4" s="4">
        <v>257060</v>
      </c>
      <c r="I4" s="4">
        <v>3</v>
      </c>
      <c r="J4" s="4" t="s">
        <v>228</v>
      </c>
      <c r="K4" s="4" t="s">
        <v>12</v>
      </c>
      <c r="L4" s="5">
        <v>0</v>
      </c>
      <c r="M4" s="5">
        <v>0</v>
      </c>
      <c r="N4" s="5">
        <v>1</v>
      </c>
      <c r="O4" s="5">
        <v>1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2</v>
      </c>
      <c r="V4" s="5">
        <v>2</v>
      </c>
      <c r="W4" s="5">
        <v>2</v>
      </c>
      <c r="X4" s="5">
        <v>0</v>
      </c>
      <c r="Y4" s="5">
        <v>2</v>
      </c>
      <c r="Z4" s="1">
        <f>L4+M4+N4+O4+P4+Q4+R4+S4+T4+U4+V4+W4+X4+Y4</f>
        <v>11</v>
      </c>
    </row>
    <row r="5" spans="1:26" ht="25" customHeight="1" x14ac:dyDescent="0.2">
      <c r="A5" s="4" t="s">
        <v>21</v>
      </c>
      <c r="B5" s="12">
        <v>42059</v>
      </c>
      <c r="C5" s="12">
        <v>42173</v>
      </c>
      <c r="D5" s="4">
        <v>2071291</v>
      </c>
      <c r="E5" s="4" t="s">
        <v>22</v>
      </c>
      <c r="F5" s="4" t="s">
        <v>15</v>
      </c>
      <c r="G5" s="4" t="s">
        <v>23</v>
      </c>
      <c r="H5" s="4">
        <v>1817677</v>
      </c>
      <c r="I5" s="4">
        <v>3</v>
      </c>
      <c r="J5" s="4">
        <v>3</v>
      </c>
      <c r="K5" s="4" t="s">
        <v>24</v>
      </c>
      <c r="L5" s="5">
        <v>0</v>
      </c>
      <c r="M5" s="5">
        <v>0</v>
      </c>
      <c r="N5" s="5">
        <v>2</v>
      </c>
      <c r="O5" s="5">
        <v>1</v>
      </c>
      <c r="P5" s="5">
        <v>1</v>
      </c>
      <c r="Q5" s="5">
        <v>2</v>
      </c>
      <c r="R5" s="5">
        <v>0</v>
      </c>
      <c r="S5" s="5">
        <v>1</v>
      </c>
      <c r="T5" s="5">
        <v>2</v>
      </c>
      <c r="U5" s="5">
        <v>2</v>
      </c>
      <c r="V5" s="5">
        <v>2</v>
      </c>
      <c r="W5" s="5">
        <v>2</v>
      </c>
      <c r="X5" s="5">
        <v>2</v>
      </c>
      <c r="Y5" s="5">
        <v>2</v>
      </c>
      <c r="Z5" s="1">
        <f>L5+M5+N5+O5+P5+Q5+R5+S5+T5+U5+V5+W5+X5+Y5</f>
        <v>19</v>
      </c>
    </row>
    <row r="6" spans="1:26" ht="23" customHeight="1" x14ac:dyDescent="0.2">
      <c r="A6" s="4" t="s">
        <v>25</v>
      </c>
      <c r="B6" s="12">
        <v>43451</v>
      </c>
      <c r="C6" s="12">
        <v>43571</v>
      </c>
      <c r="D6" s="4">
        <v>27627237</v>
      </c>
      <c r="E6" s="4" t="s">
        <v>26</v>
      </c>
      <c r="F6" s="4" t="s">
        <v>15</v>
      </c>
      <c r="G6" s="4" t="s">
        <v>27</v>
      </c>
      <c r="H6" s="4">
        <v>6530032</v>
      </c>
      <c r="I6" s="4">
        <v>3</v>
      </c>
      <c r="J6" s="4">
        <v>5</v>
      </c>
      <c r="K6" s="4" t="s">
        <v>28</v>
      </c>
      <c r="L6" s="5">
        <v>2</v>
      </c>
      <c r="M6" s="5">
        <v>2</v>
      </c>
      <c r="N6" s="5">
        <v>2</v>
      </c>
      <c r="O6" s="5">
        <v>2</v>
      </c>
      <c r="P6" s="5">
        <v>1</v>
      </c>
      <c r="Q6" s="5">
        <v>2</v>
      </c>
      <c r="R6" s="5">
        <v>2</v>
      </c>
      <c r="S6" s="5">
        <v>2</v>
      </c>
      <c r="T6" s="5">
        <v>1</v>
      </c>
      <c r="U6" s="5">
        <v>2</v>
      </c>
      <c r="V6" s="5">
        <v>2</v>
      </c>
      <c r="W6" s="5">
        <v>2</v>
      </c>
      <c r="X6" s="5">
        <v>2</v>
      </c>
      <c r="Y6" s="5">
        <v>2</v>
      </c>
      <c r="Z6" s="1">
        <f>L6+M6+N6+O6+P6+Q6+R6+S6+T6+U6+V6+W6+X6+Y6</f>
        <v>26</v>
      </c>
    </row>
    <row r="7" spans="1:26" ht="23" customHeight="1" x14ac:dyDescent="0.2">
      <c r="A7" s="4" t="s">
        <v>13</v>
      </c>
      <c r="B7" s="12">
        <v>41264</v>
      </c>
      <c r="C7" s="12">
        <v>41264</v>
      </c>
      <c r="D7" s="4">
        <v>7565225</v>
      </c>
      <c r="E7" s="4" t="s">
        <v>29</v>
      </c>
      <c r="F7" s="4" t="s">
        <v>15</v>
      </c>
      <c r="G7" s="4" t="s">
        <v>30</v>
      </c>
      <c r="H7" s="4">
        <v>6511891</v>
      </c>
      <c r="I7" s="4">
        <v>3</v>
      </c>
      <c r="J7" s="4">
        <v>5</v>
      </c>
      <c r="K7" s="4" t="s">
        <v>17</v>
      </c>
      <c r="L7" s="5">
        <v>0</v>
      </c>
      <c r="M7" s="5">
        <v>0</v>
      </c>
      <c r="N7" s="5">
        <v>2</v>
      </c>
      <c r="O7" s="5">
        <v>0</v>
      </c>
      <c r="P7" s="5">
        <v>0</v>
      </c>
      <c r="Q7" s="5">
        <v>2</v>
      </c>
      <c r="R7" s="5">
        <v>2</v>
      </c>
      <c r="S7" s="5">
        <v>0</v>
      </c>
      <c r="T7" s="5">
        <v>1</v>
      </c>
      <c r="U7" s="5">
        <v>2</v>
      </c>
      <c r="V7" s="5">
        <v>2</v>
      </c>
      <c r="W7" s="5">
        <v>2</v>
      </c>
      <c r="X7" s="5">
        <v>0</v>
      </c>
      <c r="Y7" s="5">
        <v>2</v>
      </c>
      <c r="Z7" s="1">
        <f t="shared" ref="Z7:Z38" si="0">SUM(L7:Y7)</f>
        <v>15</v>
      </c>
    </row>
    <row r="8" spans="1:26" ht="21" customHeight="1" x14ac:dyDescent="0.2">
      <c r="A8" s="4" t="s">
        <v>31</v>
      </c>
      <c r="B8" s="12">
        <v>45007</v>
      </c>
      <c r="C8" s="12">
        <v>45184</v>
      </c>
      <c r="D8" s="4">
        <v>94052</v>
      </c>
      <c r="E8" s="4" t="s">
        <v>32</v>
      </c>
      <c r="F8" s="4" t="s">
        <v>10</v>
      </c>
      <c r="G8" s="4" t="s">
        <v>33</v>
      </c>
      <c r="H8" s="4">
        <v>82937</v>
      </c>
      <c r="I8" s="4">
        <v>3</v>
      </c>
      <c r="J8" s="4" t="s">
        <v>228</v>
      </c>
      <c r="K8" s="4" t="s">
        <v>12</v>
      </c>
      <c r="L8" s="5">
        <v>0</v>
      </c>
      <c r="M8" s="5">
        <v>1</v>
      </c>
      <c r="N8" s="5">
        <v>2</v>
      </c>
      <c r="O8" s="5">
        <v>0</v>
      </c>
      <c r="P8" s="5">
        <v>2</v>
      </c>
      <c r="Q8" s="5">
        <v>1</v>
      </c>
      <c r="R8" s="5">
        <v>0</v>
      </c>
      <c r="S8" s="5">
        <v>2</v>
      </c>
      <c r="T8" s="5">
        <v>1</v>
      </c>
      <c r="U8" s="5">
        <v>2</v>
      </c>
      <c r="V8" s="5">
        <v>2</v>
      </c>
      <c r="W8" s="5">
        <v>2</v>
      </c>
      <c r="X8" s="5">
        <v>2</v>
      </c>
      <c r="Y8" s="5">
        <v>2</v>
      </c>
      <c r="Z8" s="1">
        <f t="shared" si="0"/>
        <v>19</v>
      </c>
    </row>
    <row r="9" spans="1:26" ht="22" customHeight="1" x14ac:dyDescent="0.2">
      <c r="A9" s="4" t="s">
        <v>34</v>
      </c>
      <c r="B9" s="12">
        <v>40794</v>
      </c>
      <c r="C9" s="12">
        <v>41037</v>
      </c>
      <c r="D9" s="4">
        <v>1092577</v>
      </c>
      <c r="E9" s="4" t="s">
        <v>35</v>
      </c>
      <c r="F9" s="4" t="s">
        <v>10</v>
      </c>
      <c r="G9" s="4" t="s">
        <v>36</v>
      </c>
      <c r="H9" s="4">
        <v>1043432</v>
      </c>
      <c r="I9" s="4">
        <v>2</v>
      </c>
      <c r="J9" s="4">
        <v>4</v>
      </c>
      <c r="K9" s="4" t="s">
        <v>17</v>
      </c>
      <c r="L9" s="5">
        <v>1</v>
      </c>
      <c r="M9" s="5">
        <v>0</v>
      </c>
      <c r="N9" s="5">
        <v>2</v>
      </c>
      <c r="O9" s="5">
        <v>1</v>
      </c>
      <c r="P9" s="5">
        <v>1</v>
      </c>
      <c r="Q9" s="5">
        <v>1</v>
      </c>
      <c r="R9" s="5">
        <v>1</v>
      </c>
      <c r="S9" s="5">
        <v>0</v>
      </c>
      <c r="T9" s="5">
        <v>0</v>
      </c>
      <c r="U9" s="5">
        <v>2</v>
      </c>
      <c r="V9" s="5">
        <v>2</v>
      </c>
      <c r="W9" s="5">
        <v>2</v>
      </c>
      <c r="X9" s="5">
        <v>0</v>
      </c>
      <c r="Y9" s="5">
        <v>2</v>
      </c>
      <c r="Z9" s="1">
        <f t="shared" si="0"/>
        <v>15</v>
      </c>
    </row>
    <row r="10" spans="1:26" ht="27" customHeight="1" x14ac:dyDescent="0.2">
      <c r="A10" s="4" t="s">
        <v>21</v>
      </c>
      <c r="B10" s="12">
        <v>44166</v>
      </c>
      <c r="C10" s="12">
        <v>44173</v>
      </c>
      <c r="D10" s="4">
        <v>941618</v>
      </c>
      <c r="E10" s="4" t="s">
        <v>37</v>
      </c>
      <c r="F10" s="4" t="s">
        <v>15</v>
      </c>
      <c r="G10" s="4" t="s">
        <v>38</v>
      </c>
      <c r="H10" s="4">
        <v>255079</v>
      </c>
      <c r="I10" s="4">
        <v>3</v>
      </c>
      <c r="J10" s="4">
        <v>4</v>
      </c>
      <c r="K10" s="4" t="s">
        <v>17</v>
      </c>
      <c r="L10" s="5">
        <v>2</v>
      </c>
      <c r="M10" s="5">
        <v>2</v>
      </c>
      <c r="N10" s="5">
        <v>2</v>
      </c>
      <c r="O10" s="5">
        <v>0</v>
      </c>
      <c r="P10" s="5">
        <v>0</v>
      </c>
      <c r="Q10" s="5">
        <v>2</v>
      </c>
      <c r="R10" s="5">
        <v>1</v>
      </c>
      <c r="S10" s="5">
        <v>2</v>
      </c>
      <c r="T10" s="5">
        <v>0</v>
      </c>
      <c r="U10" s="5">
        <v>2</v>
      </c>
      <c r="V10" s="5">
        <v>2</v>
      </c>
      <c r="W10" s="5">
        <v>2</v>
      </c>
      <c r="X10" s="5">
        <v>2</v>
      </c>
      <c r="Y10" s="5">
        <v>2</v>
      </c>
      <c r="Z10" s="1">
        <f t="shared" si="0"/>
        <v>21</v>
      </c>
    </row>
    <row r="11" spans="1:26" ht="27" customHeight="1" x14ac:dyDescent="0.2">
      <c r="A11" s="4" t="s">
        <v>34</v>
      </c>
      <c r="B11" s="12">
        <v>42557</v>
      </c>
      <c r="C11" s="12">
        <v>42557</v>
      </c>
      <c r="D11" s="4">
        <v>351909</v>
      </c>
      <c r="E11" s="4" t="s">
        <v>39</v>
      </c>
      <c r="F11" s="4" t="s">
        <v>10</v>
      </c>
      <c r="G11" s="4" t="s">
        <v>40</v>
      </c>
      <c r="H11" s="4">
        <v>193200</v>
      </c>
      <c r="I11" s="4">
        <v>2</v>
      </c>
      <c r="J11" s="4" t="s">
        <v>228</v>
      </c>
      <c r="K11" s="4" t="s">
        <v>12</v>
      </c>
      <c r="L11" s="5">
        <v>1</v>
      </c>
      <c r="M11" s="5">
        <v>2</v>
      </c>
      <c r="N11" s="5">
        <v>2</v>
      </c>
      <c r="O11" s="5">
        <v>0</v>
      </c>
      <c r="P11" s="5">
        <v>2</v>
      </c>
      <c r="Q11" s="5">
        <v>0</v>
      </c>
      <c r="R11" s="5">
        <v>0</v>
      </c>
      <c r="S11" s="5">
        <v>2</v>
      </c>
      <c r="T11" s="5">
        <v>2</v>
      </c>
      <c r="U11" s="5">
        <v>1</v>
      </c>
      <c r="V11" s="5">
        <v>2</v>
      </c>
      <c r="W11" s="5">
        <v>2</v>
      </c>
      <c r="X11" s="5">
        <v>0</v>
      </c>
      <c r="Y11" s="5">
        <v>2</v>
      </c>
      <c r="Z11" s="1">
        <f t="shared" si="0"/>
        <v>18</v>
      </c>
    </row>
    <row r="12" spans="1:26" ht="18" customHeight="1" x14ac:dyDescent="0.2">
      <c r="A12" s="4" t="s">
        <v>34</v>
      </c>
      <c r="B12" s="12">
        <v>45463</v>
      </c>
      <c r="C12" s="12">
        <v>45496</v>
      </c>
      <c r="D12" s="4">
        <v>508539</v>
      </c>
      <c r="E12" s="4" t="s">
        <v>41</v>
      </c>
      <c r="F12" s="4" t="s">
        <v>10</v>
      </c>
      <c r="G12" s="4" t="s">
        <v>42</v>
      </c>
      <c r="H12" s="4">
        <v>221113</v>
      </c>
      <c r="I12" s="4">
        <v>2</v>
      </c>
      <c r="J12" s="4">
        <v>5</v>
      </c>
      <c r="K12" s="4" t="s">
        <v>17</v>
      </c>
      <c r="L12" s="5">
        <v>2</v>
      </c>
      <c r="M12" s="5">
        <v>2</v>
      </c>
      <c r="N12" s="5">
        <v>2</v>
      </c>
      <c r="O12" s="5">
        <v>1</v>
      </c>
      <c r="P12" s="5">
        <v>2</v>
      </c>
      <c r="Q12" s="5">
        <v>2</v>
      </c>
      <c r="R12" s="5">
        <v>1</v>
      </c>
      <c r="S12" s="5">
        <v>0</v>
      </c>
      <c r="T12" s="5">
        <v>2</v>
      </c>
      <c r="U12" s="5">
        <v>2</v>
      </c>
      <c r="V12" s="5">
        <v>2</v>
      </c>
      <c r="W12" s="5">
        <v>2</v>
      </c>
      <c r="X12" s="5">
        <v>2</v>
      </c>
      <c r="Y12" s="5">
        <v>2</v>
      </c>
      <c r="Z12" s="1">
        <f t="shared" si="0"/>
        <v>24</v>
      </c>
    </row>
    <row r="13" spans="1:26" ht="35.25" customHeight="1" x14ac:dyDescent="0.2">
      <c r="A13" s="4" t="s">
        <v>43</v>
      </c>
      <c r="B13" s="12">
        <v>45104</v>
      </c>
      <c r="C13" s="12">
        <v>45104</v>
      </c>
      <c r="D13" s="4">
        <v>703</v>
      </c>
      <c r="E13" s="4" t="s">
        <v>44</v>
      </c>
      <c r="F13" s="4" t="s">
        <v>10</v>
      </c>
      <c r="G13" s="4" t="s">
        <v>45</v>
      </c>
      <c r="H13" s="4">
        <v>1</v>
      </c>
      <c r="I13" s="4">
        <v>3</v>
      </c>
      <c r="J13" s="4" t="s">
        <v>228</v>
      </c>
      <c r="K13" s="4" t="s">
        <v>12</v>
      </c>
      <c r="L13" s="5">
        <v>0</v>
      </c>
      <c r="M13" s="5">
        <v>1</v>
      </c>
      <c r="N13" s="5">
        <v>2</v>
      </c>
      <c r="O13" s="5">
        <v>2</v>
      </c>
      <c r="P13" s="5">
        <v>1</v>
      </c>
      <c r="Q13" s="5">
        <v>0</v>
      </c>
      <c r="R13" s="5">
        <v>1</v>
      </c>
      <c r="S13" s="5">
        <v>1</v>
      </c>
      <c r="T13" s="5">
        <v>0</v>
      </c>
      <c r="U13" s="5">
        <v>0</v>
      </c>
      <c r="V13" s="5">
        <v>2</v>
      </c>
      <c r="W13" s="5">
        <v>2</v>
      </c>
      <c r="X13" s="5">
        <v>1</v>
      </c>
      <c r="Y13" s="5">
        <v>2</v>
      </c>
      <c r="Z13" s="1">
        <f t="shared" si="0"/>
        <v>15</v>
      </c>
    </row>
    <row r="14" spans="1:26" ht="41.25" customHeight="1" x14ac:dyDescent="0.2">
      <c r="A14" s="4" t="s">
        <v>46</v>
      </c>
      <c r="B14" s="12">
        <v>41628</v>
      </c>
      <c r="C14" s="12">
        <v>41659</v>
      </c>
      <c r="D14" s="4">
        <v>33625616</v>
      </c>
      <c r="E14" s="4" t="s">
        <v>47</v>
      </c>
      <c r="F14" s="4" t="s">
        <v>15</v>
      </c>
      <c r="G14" s="4" t="s">
        <v>48</v>
      </c>
      <c r="H14" s="4">
        <v>26318693</v>
      </c>
      <c r="I14" s="4">
        <v>2</v>
      </c>
      <c r="J14" s="4">
        <v>5</v>
      </c>
      <c r="K14" s="4" t="s">
        <v>28</v>
      </c>
      <c r="L14" s="5">
        <v>2</v>
      </c>
      <c r="M14" s="5">
        <v>2</v>
      </c>
      <c r="N14" s="5">
        <v>2</v>
      </c>
      <c r="O14" s="5">
        <v>1</v>
      </c>
      <c r="P14" s="5">
        <v>2</v>
      </c>
      <c r="Q14" s="5">
        <v>2</v>
      </c>
      <c r="R14" s="5">
        <v>1</v>
      </c>
      <c r="S14" s="5">
        <v>2</v>
      </c>
      <c r="T14" s="5">
        <v>2</v>
      </c>
      <c r="U14" s="5">
        <v>2</v>
      </c>
      <c r="V14" s="5">
        <v>2</v>
      </c>
      <c r="W14" s="5">
        <v>2</v>
      </c>
      <c r="X14" s="5">
        <v>2</v>
      </c>
      <c r="Y14" s="5">
        <v>2</v>
      </c>
      <c r="Z14" s="1">
        <f t="shared" si="0"/>
        <v>26</v>
      </c>
    </row>
    <row r="15" spans="1:26" ht="28.5" customHeight="1" x14ac:dyDescent="0.2">
      <c r="A15" s="4" t="s">
        <v>49</v>
      </c>
      <c r="B15" s="12">
        <v>40702</v>
      </c>
      <c r="C15" s="12">
        <v>40724</v>
      </c>
      <c r="D15" s="4">
        <v>17720553</v>
      </c>
      <c r="E15" s="4" t="s">
        <v>50</v>
      </c>
      <c r="F15" s="4" t="s">
        <v>15</v>
      </c>
      <c r="G15" s="4" t="s">
        <v>51</v>
      </c>
      <c r="H15" s="4">
        <v>8813787</v>
      </c>
      <c r="I15" s="4">
        <v>3</v>
      </c>
      <c r="J15" s="4">
        <v>5</v>
      </c>
      <c r="K15" s="4" t="s">
        <v>17</v>
      </c>
      <c r="L15" s="5">
        <v>1</v>
      </c>
      <c r="M15" s="5">
        <v>2</v>
      </c>
      <c r="N15" s="5">
        <v>2</v>
      </c>
      <c r="O15" s="5">
        <v>2</v>
      </c>
      <c r="P15" s="5">
        <v>0</v>
      </c>
      <c r="Q15" s="5">
        <v>1</v>
      </c>
      <c r="R15" s="5">
        <v>1</v>
      </c>
      <c r="S15" s="5">
        <v>0</v>
      </c>
      <c r="T15" s="5">
        <v>1</v>
      </c>
      <c r="U15" s="5">
        <v>2</v>
      </c>
      <c r="V15" s="5">
        <v>2</v>
      </c>
      <c r="W15" s="5">
        <v>2</v>
      </c>
      <c r="X15" s="5">
        <v>2</v>
      </c>
      <c r="Y15" s="5">
        <v>2</v>
      </c>
      <c r="Z15" s="1">
        <f t="shared" si="0"/>
        <v>20</v>
      </c>
    </row>
    <row r="16" spans="1:26" ht="23.25" customHeight="1" x14ac:dyDescent="0.2">
      <c r="A16" s="4" t="s">
        <v>49</v>
      </c>
      <c r="B16" s="12">
        <v>40581</v>
      </c>
      <c r="C16" s="12">
        <v>40631</v>
      </c>
      <c r="D16" s="4">
        <v>3818704</v>
      </c>
      <c r="E16" s="4" t="s">
        <v>52</v>
      </c>
      <c r="F16" s="4" t="s">
        <v>15</v>
      </c>
      <c r="G16" s="4" t="s">
        <v>51</v>
      </c>
      <c r="H16" s="4">
        <v>3504397</v>
      </c>
      <c r="I16" s="4">
        <v>3</v>
      </c>
      <c r="J16" s="4">
        <v>5</v>
      </c>
      <c r="K16" s="4" t="s">
        <v>17</v>
      </c>
      <c r="L16" s="5">
        <v>1</v>
      </c>
      <c r="M16" s="5">
        <v>0</v>
      </c>
      <c r="N16" s="5">
        <v>2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1</v>
      </c>
      <c r="U16" s="5">
        <v>2</v>
      </c>
      <c r="V16" s="5">
        <v>2</v>
      </c>
      <c r="W16" s="5">
        <v>2</v>
      </c>
      <c r="X16" s="5">
        <v>2</v>
      </c>
      <c r="Y16" s="5">
        <v>2</v>
      </c>
      <c r="Z16" s="1">
        <f t="shared" si="0"/>
        <v>15</v>
      </c>
    </row>
    <row r="17" spans="1:26" ht="24" customHeight="1" x14ac:dyDescent="0.2">
      <c r="A17" s="4" t="s">
        <v>13</v>
      </c>
      <c r="B17" s="12">
        <v>43579</v>
      </c>
      <c r="C17" s="12">
        <v>43579</v>
      </c>
      <c r="D17" s="4">
        <v>312526</v>
      </c>
      <c r="E17" s="4" t="s">
        <v>53</v>
      </c>
      <c r="F17" s="4" t="s">
        <v>10</v>
      </c>
      <c r="G17" s="4" t="s">
        <v>54</v>
      </c>
      <c r="H17" s="4">
        <v>289162</v>
      </c>
      <c r="I17" s="4">
        <v>2</v>
      </c>
      <c r="J17" s="4" t="s">
        <v>228</v>
      </c>
      <c r="K17" s="4" t="s">
        <v>12</v>
      </c>
      <c r="L17" s="5">
        <v>0</v>
      </c>
      <c r="M17" s="5">
        <v>1</v>
      </c>
      <c r="N17" s="5">
        <v>2</v>
      </c>
      <c r="O17" s="5">
        <v>1</v>
      </c>
      <c r="P17" s="5">
        <v>0</v>
      </c>
      <c r="Q17" s="5">
        <v>1</v>
      </c>
      <c r="R17" s="5">
        <v>0</v>
      </c>
      <c r="S17" s="5">
        <v>2</v>
      </c>
      <c r="T17" s="5">
        <v>0</v>
      </c>
      <c r="U17" s="5">
        <v>2</v>
      </c>
      <c r="V17" s="5">
        <v>2</v>
      </c>
      <c r="W17" s="5">
        <v>2</v>
      </c>
      <c r="X17" s="5">
        <v>2</v>
      </c>
      <c r="Y17" s="5">
        <v>2</v>
      </c>
      <c r="Z17" s="1">
        <f t="shared" si="0"/>
        <v>17</v>
      </c>
    </row>
    <row r="18" spans="1:26" ht="21" customHeight="1" x14ac:dyDescent="0.2">
      <c r="A18" s="4" t="s">
        <v>31</v>
      </c>
      <c r="B18" s="12">
        <v>44628</v>
      </c>
      <c r="C18" s="12">
        <v>44693</v>
      </c>
      <c r="D18" s="4">
        <v>435078</v>
      </c>
      <c r="E18" s="4" t="s">
        <v>55</v>
      </c>
      <c r="F18" s="4" t="s">
        <v>10</v>
      </c>
      <c r="G18" s="4" t="s">
        <v>56</v>
      </c>
      <c r="H18" s="4">
        <v>171915</v>
      </c>
      <c r="I18" s="4">
        <v>3</v>
      </c>
      <c r="J18" s="4" t="s">
        <v>228</v>
      </c>
      <c r="K18" s="4" t="s">
        <v>12</v>
      </c>
      <c r="L18" s="5">
        <v>2</v>
      </c>
      <c r="M18" s="5">
        <v>2</v>
      </c>
      <c r="N18" s="5">
        <v>2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2</v>
      </c>
      <c r="V18" s="5">
        <v>2</v>
      </c>
      <c r="W18" s="5">
        <v>2</v>
      </c>
      <c r="X18" s="5">
        <v>0</v>
      </c>
      <c r="Y18" s="5">
        <v>2</v>
      </c>
      <c r="Z18" s="1">
        <f t="shared" si="0"/>
        <v>14</v>
      </c>
    </row>
    <row r="19" spans="1:26" x14ac:dyDescent="0.2">
      <c r="A19" s="4" t="s">
        <v>49</v>
      </c>
      <c r="B19" s="12">
        <v>41233</v>
      </c>
      <c r="C19" s="12">
        <v>41233</v>
      </c>
      <c r="D19" s="4">
        <v>30575</v>
      </c>
      <c r="E19" s="4" t="s">
        <v>57</v>
      </c>
      <c r="F19" s="4" t="s">
        <v>10</v>
      </c>
      <c r="G19" s="4" t="s">
        <v>42</v>
      </c>
      <c r="H19" s="4">
        <v>30575</v>
      </c>
      <c r="I19" s="4">
        <v>2</v>
      </c>
      <c r="J19" s="4">
        <v>5</v>
      </c>
      <c r="K19" s="4" t="s">
        <v>17</v>
      </c>
      <c r="L19" s="5">
        <v>1</v>
      </c>
      <c r="M19" s="5">
        <v>2</v>
      </c>
      <c r="N19" s="5">
        <v>2</v>
      </c>
      <c r="O19" s="5">
        <v>1</v>
      </c>
      <c r="P19" s="5">
        <v>1</v>
      </c>
      <c r="Q19" s="5">
        <v>0</v>
      </c>
      <c r="R19" s="5">
        <v>0</v>
      </c>
      <c r="S19" s="5">
        <v>0</v>
      </c>
      <c r="T19" s="5">
        <v>2</v>
      </c>
      <c r="U19" s="5">
        <v>2</v>
      </c>
      <c r="V19" s="5">
        <v>2</v>
      </c>
      <c r="W19" s="5">
        <v>2</v>
      </c>
      <c r="X19" s="5">
        <v>2</v>
      </c>
      <c r="Y19" s="5">
        <v>2</v>
      </c>
      <c r="Z19" s="1">
        <f t="shared" si="0"/>
        <v>19</v>
      </c>
    </row>
    <row r="20" spans="1:26" ht="21" customHeight="1" x14ac:dyDescent="0.2">
      <c r="A20" s="4" t="s">
        <v>13</v>
      </c>
      <c r="B20" s="12">
        <v>43637</v>
      </c>
      <c r="C20" s="12">
        <v>43762</v>
      </c>
      <c r="D20" s="4">
        <v>2597181</v>
      </c>
      <c r="E20" s="4" t="s">
        <v>58</v>
      </c>
      <c r="F20" s="4" t="s">
        <v>15</v>
      </c>
      <c r="G20" s="4" t="s">
        <v>23</v>
      </c>
      <c r="H20" s="4">
        <v>2404441</v>
      </c>
      <c r="I20" s="4">
        <v>3</v>
      </c>
      <c r="J20" s="4">
        <v>2</v>
      </c>
      <c r="K20" s="4" t="s">
        <v>17</v>
      </c>
      <c r="L20" s="5">
        <v>2</v>
      </c>
      <c r="M20" s="5">
        <v>2</v>
      </c>
      <c r="N20" s="5">
        <v>2</v>
      </c>
      <c r="O20" s="5">
        <v>0</v>
      </c>
      <c r="P20" s="5">
        <v>0</v>
      </c>
      <c r="Q20" s="5">
        <v>2</v>
      </c>
      <c r="R20" s="5">
        <v>0</v>
      </c>
      <c r="S20" s="5">
        <v>0</v>
      </c>
      <c r="T20" s="5">
        <v>2</v>
      </c>
      <c r="U20" s="5">
        <v>2</v>
      </c>
      <c r="V20" s="5">
        <v>2</v>
      </c>
      <c r="W20" s="5">
        <v>2</v>
      </c>
      <c r="X20" s="5">
        <v>2</v>
      </c>
      <c r="Y20" s="5">
        <v>2</v>
      </c>
      <c r="Z20" s="1">
        <f t="shared" si="0"/>
        <v>20</v>
      </c>
    </row>
    <row r="21" spans="1:26" ht="36" customHeight="1" x14ac:dyDescent="0.2">
      <c r="A21" s="4" t="s">
        <v>46</v>
      </c>
      <c r="B21" s="12">
        <v>42886</v>
      </c>
      <c r="C21" s="12">
        <v>42886</v>
      </c>
      <c r="D21" s="4">
        <v>39998290</v>
      </c>
      <c r="E21" s="4" t="s">
        <v>59</v>
      </c>
      <c r="F21" s="4" t="s">
        <v>15</v>
      </c>
      <c r="G21" s="4" t="s">
        <v>60</v>
      </c>
      <c r="H21" s="4">
        <v>34632061</v>
      </c>
      <c r="I21" s="4">
        <v>2</v>
      </c>
      <c r="J21" s="4">
        <v>5</v>
      </c>
      <c r="K21" s="4" t="s">
        <v>17</v>
      </c>
      <c r="L21" s="5">
        <v>2</v>
      </c>
      <c r="M21" s="5">
        <v>2</v>
      </c>
      <c r="N21" s="5">
        <v>2</v>
      </c>
      <c r="O21" s="5">
        <v>0</v>
      </c>
      <c r="P21" s="5">
        <v>2</v>
      </c>
      <c r="Q21" s="5">
        <v>2</v>
      </c>
      <c r="R21" s="5">
        <v>1</v>
      </c>
      <c r="S21" s="5">
        <v>0</v>
      </c>
      <c r="T21" s="5">
        <v>2</v>
      </c>
      <c r="U21" s="5">
        <v>2</v>
      </c>
      <c r="V21" s="5">
        <v>2</v>
      </c>
      <c r="W21" s="5">
        <v>2</v>
      </c>
      <c r="X21" s="5">
        <v>2</v>
      </c>
      <c r="Y21" s="5">
        <v>2</v>
      </c>
      <c r="Z21" s="1">
        <f t="shared" si="0"/>
        <v>23</v>
      </c>
    </row>
    <row r="22" spans="1:26" ht="34.5" customHeight="1" x14ac:dyDescent="0.2">
      <c r="A22" s="4" t="s">
        <v>61</v>
      </c>
      <c r="B22" s="12">
        <v>42552</v>
      </c>
      <c r="C22" s="12">
        <v>42552</v>
      </c>
      <c r="D22" s="4">
        <v>1138349</v>
      </c>
      <c r="E22" s="4" t="s">
        <v>62</v>
      </c>
      <c r="F22" s="4" t="s">
        <v>10</v>
      </c>
      <c r="G22" s="4" t="s">
        <v>63</v>
      </c>
      <c r="H22" s="4">
        <v>890470</v>
      </c>
      <c r="I22" s="4">
        <v>3</v>
      </c>
      <c r="J22" s="4" t="s">
        <v>228</v>
      </c>
      <c r="K22" s="4" t="s">
        <v>12</v>
      </c>
      <c r="L22" s="5">
        <v>0</v>
      </c>
      <c r="M22" s="5">
        <v>1</v>
      </c>
      <c r="N22" s="5">
        <v>2</v>
      </c>
      <c r="O22" s="5">
        <v>2</v>
      </c>
      <c r="P22" s="5">
        <v>1</v>
      </c>
      <c r="Q22" s="5">
        <v>0</v>
      </c>
      <c r="R22" s="5">
        <v>0</v>
      </c>
      <c r="S22" s="5">
        <v>1</v>
      </c>
      <c r="T22" s="5">
        <v>2</v>
      </c>
      <c r="U22" s="5">
        <v>1</v>
      </c>
      <c r="V22" s="5">
        <v>2</v>
      </c>
      <c r="W22" s="5">
        <v>2</v>
      </c>
      <c r="X22" s="5">
        <v>2</v>
      </c>
      <c r="Y22" s="5">
        <v>2</v>
      </c>
      <c r="Z22" s="1">
        <f t="shared" si="0"/>
        <v>18</v>
      </c>
    </row>
    <row r="23" spans="1:26" ht="21.75" customHeight="1" x14ac:dyDescent="0.2">
      <c r="A23" s="4" t="s">
        <v>21</v>
      </c>
      <c r="B23" s="12">
        <v>41656</v>
      </c>
      <c r="C23" s="12">
        <v>41656</v>
      </c>
      <c r="D23" s="4">
        <v>861351</v>
      </c>
      <c r="E23" s="4" t="s">
        <v>64</v>
      </c>
      <c r="F23" s="4" t="s">
        <v>15</v>
      </c>
      <c r="G23" s="4" t="s">
        <v>23</v>
      </c>
      <c r="H23" s="4">
        <v>860930</v>
      </c>
      <c r="I23" s="4">
        <v>3</v>
      </c>
      <c r="J23" s="4">
        <v>3</v>
      </c>
      <c r="K23" s="4" t="s">
        <v>17</v>
      </c>
      <c r="L23" s="5">
        <v>0</v>
      </c>
      <c r="M23" s="5">
        <v>2</v>
      </c>
      <c r="N23" s="5">
        <v>2</v>
      </c>
      <c r="O23" s="5">
        <v>0</v>
      </c>
      <c r="P23" s="5">
        <v>0</v>
      </c>
      <c r="Q23" s="5">
        <v>2</v>
      </c>
      <c r="R23" s="5">
        <v>0</v>
      </c>
      <c r="S23" s="5">
        <v>1</v>
      </c>
      <c r="T23" s="5">
        <v>2</v>
      </c>
      <c r="U23" s="5">
        <v>2</v>
      </c>
      <c r="V23" s="5">
        <v>2</v>
      </c>
      <c r="W23" s="5">
        <v>2</v>
      </c>
      <c r="X23" s="5">
        <v>2</v>
      </c>
      <c r="Y23" s="5">
        <v>2</v>
      </c>
      <c r="Z23" s="1">
        <f t="shared" si="0"/>
        <v>19</v>
      </c>
    </row>
    <row r="24" spans="1:26" ht="22.5" customHeight="1" x14ac:dyDescent="0.2">
      <c r="A24" s="4" t="s">
        <v>8</v>
      </c>
      <c r="B24" s="12">
        <v>41989</v>
      </c>
      <c r="C24" s="12">
        <v>42010</v>
      </c>
      <c r="D24" s="4">
        <v>96386</v>
      </c>
      <c r="E24" s="4" t="s">
        <v>65</v>
      </c>
      <c r="F24" s="4" t="s">
        <v>10</v>
      </c>
      <c r="G24" s="4" t="s">
        <v>66</v>
      </c>
      <c r="H24" s="4">
        <v>80320</v>
      </c>
      <c r="I24" s="4">
        <v>3</v>
      </c>
      <c r="J24" s="4" t="s">
        <v>228</v>
      </c>
      <c r="K24" s="4" t="s">
        <v>12</v>
      </c>
      <c r="L24" s="5">
        <v>0</v>
      </c>
      <c r="M24" s="5">
        <v>0</v>
      </c>
      <c r="N24" s="5">
        <v>2</v>
      </c>
      <c r="O24" s="5">
        <v>2</v>
      </c>
      <c r="P24" s="5">
        <v>1</v>
      </c>
      <c r="Q24" s="5">
        <v>1</v>
      </c>
      <c r="R24" s="5">
        <v>0</v>
      </c>
      <c r="S24" s="5">
        <v>0</v>
      </c>
      <c r="T24" s="5">
        <v>0</v>
      </c>
      <c r="U24" s="5">
        <v>2</v>
      </c>
      <c r="V24" s="5">
        <v>2</v>
      </c>
      <c r="W24" s="5">
        <v>2</v>
      </c>
      <c r="X24" s="5">
        <v>0</v>
      </c>
      <c r="Y24" s="5">
        <v>2</v>
      </c>
      <c r="Z24" s="1">
        <f t="shared" si="0"/>
        <v>14</v>
      </c>
    </row>
    <row r="25" spans="1:26" ht="31.5" customHeight="1" x14ac:dyDescent="0.2">
      <c r="A25" s="4" t="s">
        <v>25</v>
      </c>
      <c r="B25" s="12">
        <v>42921</v>
      </c>
      <c r="C25" s="12">
        <v>42921</v>
      </c>
      <c r="D25" s="4">
        <v>18874424</v>
      </c>
      <c r="E25" s="4" t="s">
        <v>67</v>
      </c>
      <c r="F25" s="4" t="s">
        <v>15</v>
      </c>
      <c r="G25" s="4" t="s">
        <v>27</v>
      </c>
      <c r="H25" s="4">
        <v>13011931</v>
      </c>
      <c r="I25" s="4">
        <v>3</v>
      </c>
      <c r="J25" s="4">
        <v>3</v>
      </c>
      <c r="K25" s="4" t="s">
        <v>17</v>
      </c>
      <c r="L25" s="5">
        <v>2</v>
      </c>
      <c r="M25" s="5">
        <v>2</v>
      </c>
      <c r="N25" s="5">
        <v>2</v>
      </c>
      <c r="O25" s="5">
        <v>0</v>
      </c>
      <c r="P25" s="5">
        <v>0</v>
      </c>
      <c r="Q25" s="5">
        <v>2</v>
      </c>
      <c r="R25" s="5">
        <v>2</v>
      </c>
      <c r="S25" s="5">
        <v>0</v>
      </c>
      <c r="T25" s="5">
        <v>2</v>
      </c>
      <c r="U25" s="5">
        <v>2</v>
      </c>
      <c r="V25" s="5">
        <v>2</v>
      </c>
      <c r="W25" s="5">
        <v>2</v>
      </c>
      <c r="X25" s="5">
        <v>2</v>
      </c>
      <c r="Y25" s="5">
        <v>2</v>
      </c>
      <c r="Z25" s="1">
        <f t="shared" si="0"/>
        <v>22</v>
      </c>
    </row>
    <row r="26" spans="1:26" ht="16.5" customHeight="1" x14ac:dyDescent="0.2">
      <c r="A26" s="4" t="s">
        <v>34</v>
      </c>
      <c r="B26" s="12">
        <v>41603</v>
      </c>
      <c r="C26" s="12">
        <v>41603</v>
      </c>
      <c r="D26" s="4">
        <v>625885</v>
      </c>
      <c r="E26" s="4" t="s">
        <v>68</v>
      </c>
      <c r="F26" s="4" t="s">
        <v>10</v>
      </c>
      <c r="G26" s="4" t="s">
        <v>42</v>
      </c>
      <c r="H26" s="4">
        <v>620356</v>
      </c>
      <c r="I26" s="4">
        <v>2</v>
      </c>
      <c r="J26" s="4">
        <v>5</v>
      </c>
      <c r="K26" s="4" t="s">
        <v>17</v>
      </c>
      <c r="L26" s="5">
        <v>2</v>
      </c>
      <c r="M26" s="5">
        <v>2</v>
      </c>
      <c r="N26" s="5">
        <v>2</v>
      </c>
      <c r="O26" s="5">
        <v>1</v>
      </c>
      <c r="P26" s="5">
        <v>2</v>
      </c>
      <c r="Q26" s="5">
        <v>2</v>
      </c>
      <c r="R26" s="5">
        <v>0</v>
      </c>
      <c r="S26" s="5">
        <v>0</v>
      </c>
      <c r="T26" s="5">
        <v>2</v>
      </c>
      <c r="U26" s="5">
        <v>2</v>
      </c>
      <c r="V26" s="5">
        <v>2</v>
      </c>
      <c r="W26" s="5">
        <v>2</v>
      </c>
      <c r="X26" s="5">
        <v>2</v>
      </c>
      <c r="Y26" s="5">
        <v>2</v>
      </c>
      <c r="Z26" s="1">
        <f t="shared" si="0"/>
        <v>23</v>
      </c>
    </row>
    <row r="27" spans="1:26" ht="28.5" customHeight="1" x14ac:dyDescent="0.2">
      <c r="A27" s="4" t="s">
        <v>69</v>
      </c>
      <c r="B27" s="12">
        <v>43763</v>
      </c>
      <c r="C27" s="12">
        <v>43777</v>
      </c>
      <c r="D27" s="4">
        <v>443610</v>
      </c>
      <c r="E27" s="4" t="s">
        <v>70</v>
      </c>
      <c r="F27" s="4" t="s">
        <v>15</v>
      </c>
      <c r="G27" s="4" t="s">
        <v>71</v>
      </c>
      <c r="H27" s="4">
        <v>301215</v>
      </c>
      <c r="I27" s="4">
        <v>3</v>
      </c>
      <c r="J27" s="4">
        <v>4</v>
      </c>
      <c r="K27" s="4" t="s">
        <v>17</v>
      </c>
      <c r="L27" s="5">
        <v>2</v>
      </c>
      <c r="M27" s="5">
        <v>2</v>
      </c>
      <c r="N27" s="5">
        <v>2</v>
      </c>
      <c r="O27" s="5">
        <v>0</v>
      </c>
      <c r="P27" s="5">
        <v>2</v>
      </c>
      <c r="Q27" s="5">
        <v>2</v>
      </c>
      <c r="R27" s="5">
        <v>0</v>
      </c>
      <c r="S27" s="5">
        <v>1</v>
      </c>
      <c r="T27" s="5">
        <v>2</v>
      </c>
      <c r="U27" s="5">
        <v>2</v>
      </c>
      <c r="V27" s="5">
        <v>2</v>
      </c>
      <c r="W27" s="5">
        <v>2</v>
      </c>
      <c r="X27" s="5">
        <v>2</v>
      </c>
      <c r="Y27" s="5">
        <v>2</v>
      </c>
      <c r="Z27" s="1">
        <f t="shared" si="0"/>
        <v>23</v>
      </c>
    </row>
    <row r="28" spans="1:26" ht="32.25" customHeight="1" x14ac:dyDescent="0.2">
      <c r="A28" s="4" t="s">
        <v>49</v>
      </c>
      <c r="B28" s="12">
        <v>40738</v>
      </c>
      <c r="C28" s="12">
        <v>41002</v>
      </c>
      <c r="D28" s="4">
        <v>61903</v>
      </c>
      <c r="E28" s="4" t="s">
        <v>72</v>
      </c>
      <c r="F28" s="4" t="s">
        <v>10</v>
      </c>
      <c r="G28" s="4" t="s">
        <v>42</v>
      </c>
      <c r="H28" s="4">
        <v>61853</v>
      </c>
      <c r="I28" s="4">
        <v>2</v>
      </c>
      <c r="J28" s="4">
        <v>5</v>
      </c>
      <c r="K28" s="4" t="s">
        <v>17</v>
      </c>
      <c r="L28" s="5">
        <v>1</v>
      </c>
      <c r="M28" s="5">
        <v>2</v>
      </c>
      <c r="N28" s="5">
        <v>2</v>
      </c>
      <c r="O28" s="5">
        <v>1</v>
      </c>
      <c r="P28" s="5">
        <v>1</v>
      </c>
      <c r="Q28" s="5">
        <v>0</v>
      </c>
      <c r="R28" s="5">
        <v>0</v>
      </c>
      <c r="S28" s="5">
        <v>2</v>
      </c>
      <c r="T28" s="5">
        <v>2</v>
      </c>
      <c r="U28" s="5">
        <v>2</v>
      </c>
      <c r="V28" s="5">
        <v>2</v>
      </c>
      <c r="W28" s="5">
        <v>2</v>
      </c>
      <c r="X28" s="5">
        <v>2</v>
      </c>
      <c r="Y28" s="5">
        <v>2</v>
      </c>
      <c r="Z28" s="1">
        <f t="shared" si="0"/>
        <v>21</v>
      </c>
    </row>
    <row r="29" spans="1:26" ht="21" customHeight="1" x14ac:dyDescent="0.2">
      <c r="A29" s="4" t="s">
        <v>49</v>
      </c>
      <c r="B29" s="12">
        <v>40988</v>
      </c>
      <c r="C29" s="12">
        <v>40988</v>
      </c>
      <c r="D29" s="4">
        <v>997867</v>
      </c>
      <c r="E29" s="4" t="s">
        <v>73</v>
      </c>
      <c r="F29" s="4" t="s">
        <v>10</v>
      </c>
      <c r="G29" s="4" t="s">
        <v>42</v>
      </c>
      <c r="H29" s="4">
        <v>993582</v>
      </c>
      <c r="I29" s="4">
        <v>2</v>
      </c>
      <c r="J29" s="4">
        <v>5</v>
      </c>
      <c r="K29" s="4" t="s">
        <v>17</v>
      </c>
      <c r="L29" s="5">
        <v>2</v>
      </c>
      <c r="M29" s="5">
        <v>2</v>
      </c>
      <c r="N29" s="5">
        <v>2</v>
      </c>
      <c r="O29" s="5">
        <v>0</v>
      </c>
      <c r="P29" s="5">
        <v>2</v>
      </c>
      <c r="Q29" s="5">
        <v>2</v>
      </c>
      <c r="R29" s="5">
        <v>1</v>
      </c>
      <c r="S29" s="5">
        <v>2</v>
      </c>
      <c r="T29" s="5">
        <v>2</v>
      </c>
      <c r="U29" s="5">
        <v>2</v>
      </c>
      <c r="V29" s="5">
        <v>2</v>
      </c>
      <c r="W29" s="5">
        <v>2</v>
      </c>
      <c r="X29" s="5">
        <v>2</v>
      </c>
      <c r="Y29" s="5">
        <v>2</v>
      </c>
      <c r="Z29" s="1">
        <f t="shared" si="0"/>
        <v>25</v>
      </c>
    </row>
    <row r="30" spans="1:26" ht="31.5" customHeight="1" x14ac:dyDescent="0.2">
      <c r="A30" s="4" t="s">
        <v>74</v>
      </c>
      <c r="B30" s="12">
        <v>42485</v>
      </c>
      <c r="C30" s="12">
        <v>42485</v>
      </c>
      <c r="D30" s="4">
        <v>2672520</v>
      </c>
      <c r="E30" s="4" t="s">
        <v>75</v>
      </c>
      <c r="F30" s="4" t="s">
        <v>15</v>
      </c>
      <c r="G30" s="4" t="s">
        <v>76</v>
      </c>
      <c r="H30" s="4">
        <v>2229623</v>
      </c>
      <c r="I30" s="4">
        <v>2</v>
      </c>
      <c r="J30" s="4">
        <v>4</v>
      </c>
      <c r="K30" s="4" t="s">
        <v>17</v>
      </c>
      <c r="L30" s="7">
        <v>2</v>
      </c>
      <c r="M30" s="5">
        <v>2</v>
      </c>
      <c r="N30" s="5">
        <v>2</v>
      </c>
      <c r="O30" s="5">
        <v>0</v>
      </c>
      <c r="P30" s="5">
        <v>0</v>
      </c>
      <c r="Q30" s="5">
        <v>1</v>
      </c>
      <c r="R30" s="5">
        <v>1</v>
      </c>
      <c r="S30" s="5">
        <v>0</v>
      </c>
      <c r="T30" s="5">
        <v>2</v>
      </c>
      <c r="U30" s="5">
        <v>2</v>
      </c>
      <c r="V30" s="5">
        <v>2</v>
      </c>
      <c r="W30" s="5">
        <v>2</v>
      </c>
      <c r="X30" s="5">
        <v>2</v>
      </c>
      <c r="Y30" s="5">
        <v>2</v>
      </c>
      <c r="Z30" s="1">
        <f t="shared" si="0"/>
        <v>20</v>
      </c>
    </row>
    <row r="31" spans="1:26" ht="26.25" customHeight="1" x14ac:dyDescent="0.2">
      <c r="A31" s="4" t="s">
        <v>77</v>
      </c>
      <c r="B31" s="12">
        <v>43657</v>
      </c>
      <c r="C31" s="12">
        <v>43685</v>
      </c>
      <c r="D31" s="4">
        <v>460699</v>
      </c>
      <c r="E31" s="4" t="s">
        <v>78</v>
      </c>
      <c r="F31" s="4" t="s">
        <v>10</v>
      </c>
      <c r="G31" s="4" t="s">
        <v>79</v>
      </c>
      <c r="H31" s="4">
        <v>434481</v>
      </c>
      <c r="I31" s="4">
        <v>3</v>
      </c>
      <c r="J31" s="4" t="s">
        <v>228</v>
      </c>
      <c r="K31" s="4" t="s">
        <v>12</v>
      </c>
      <c r="L31" s="5">
        <v>1</v>
      </c>
      <c r="M31" s="5">
        <v>2</v>
      </c>
      <c r="N31" s="5">
        <v>1</v>
      </c>
      <c r="O31" s="5">
        <v>0</v>
      </c>
      <c r="P31" s="5">
        <v>1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2</v>
      </c>
      <c r="W31" s="5">
        <v>2</v>
      </c>
      <c r="X31" s="5">
        <v>0</v>
      </c>
      <c r="Y31" s="5">
        <v>2</v>
      </c>
      <c r="Z31" s="1">
        <f t="shared" si="0"/>
        <v>11</v>
      </c>
    </row>
    <row r="32" spans="1:26" ht="20" customHeight="1" x14ac:dyDescent="0.2">
      <c r="A32" t="s">
        <v>69</v>
      </c>
      <c r="B32" s="13">
        <v>43017</v>
      </c>
      <c r="C32" s="13">
        <v>43017</v>
      </c>
      <c r="D32">
        <v>27094417</v>
      </c>
      <c r="E32" t="s">
        <v>80</v>
      </c>
      <c r="F32" t="s">
        <v>15</v>
      </c>
      <c r="G32" t="s">
        <v>23</v>
      </c>
      <c r="H32">
        <v>20028285</v>
      </c>
      <c r="I32">
        <v>3</v>
      </c>
      <c r="J32">
        <v>4</v>
      </c>
      <c r="K32" t="s">
        <v>17</v>
      </c>
      <c r="L32" s="8">
        <v>2</v>
      </c>
      <c r="M32" s="9">
        <v>2</v>
      </c>
      <c r="N32" s="9">
        <v>2</v>
      </c>
      <c r="O32" s="9">
        <v>2</v>
      </c>
      <c r="P32" s="9">
        <v>2</v>
      </c>
      <c r="Q32" s="9">
        <v>2</v>
      </c>
      <c r="R32" s="9">
        <v>2</v>
      </c>
      <c r="S32" s="9">
        <v>1</v>
      </c>
      <c r="T32" s="9">
        <v>2</v>
      </c>
      <c r="U32" s="9">
        <v>2</v>
      </c>
      <c r="V32" s="9">
        <v>2</v>
      </c>
      <c r="W32" s="9">
        <v>2</v>
      </c>
      <c r="X32" s="9">
        <v>2</v>
      </c>
      <c r="Y32" s="9">
        <v>2</v>
      </c>
      <c r="Z32" s="1">
        <f t="shared" si="0"/>
        <v>27</v>
      </c>
    </row>
    <row r="33" spans="1:26" ht="22.5" customHeight="1" x14ac:dyDescent="0.2">
      <c r="A33" t="s">
        <v>74</v>
      </c>
      <c r="B33" s="13">
        <v>44602</v>
      </c>
      <c r="C33" s="13">
        <v>44921</v>
      </c>
      <c r="D33">
        <v>482771</v>
      </c>
      <c r="E33" t="s">
        <v>81</v>
      </c>
      <c r="F33" t="s">
        <v>10</v>
      </c>
      <c r="G33" t="s">
        <v>82</v>
      </c>
      <c r="H33">
        <v>331555</v>
      </c>
      <c r="I33">
        <v>3</v>
      </c>
      <c r="J33" t="s">
        <v>228</v>
      </c>
      <c r="K33" t="s">
        <v>12</v>
      </c>
      <c r="L33">
        <v>1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0</v>
      </c>
      <c r="T33">
        <v>2</v>
      </c>
      <c r="U33">
        <v>2</v>
      </c>
      <c r="V33">
        <v>2</v>
      </c>
      <c r="W33">
        <v>2</v>
      </c>
      <c r="X33">
        <v>0</v>
      </c>
      <c r="Y33">
        <v>2</v>
      </c>
      <c r="Z33" s="1">
        <f t="shared" si="0"/>
        <v>23</v>
      </c>
    </row>
    <row r="34" spans="1:26" ht="20.25" customHeight="1" x14ac:dyDescent="0.2">
      <c r="A34" t="s">
        <v>69</v>
      </c>
      <c r="B34" s="13">
        <v>43762</v>
      </c>
      <c r="C34" s="13">
        <v>43777</v>
      </c>
      <c r="D34">
        <v>1021146</v>
      </c>
      <c r="E34" t="s">
        <v>83</v>
      </c>
      <c r="F34" t="s">
        <v>15</v>
      </c>
      <c r="G34" t="s">
        <v>23</v>
      </c>
      <c r="H34">
        <v>659714</v>
      </c>
      <c r="I34">
        <v>3</v>
      </c>
      <c r="J34">
        <v>4</v>
      </c>
      <c r="K34" t="s">
        <v>17</v>
      </c>
      <c r="L34" s="10">
        <v>2</v>
      </c>
      <c r="M34" s="10">
        <v>2</v>
      </c>
      <c r="N34" s="10">
        <v>2</v>
      </c>
      <c r="O34" s="10">
        <v>1</v>
      </c>
      <c r="P34" s="10">
        <v>2</v>
      </c>
      <c r="Q34" s="10">
        <v>2</v>
      </c>
      <c r="R34" s="10">
        <v>2</v>
      </c>
      <c r="S34" s="10">
        <v>0</v>
      </c>
      <c r="T34" s="10">
        <v>2</v>
      </c>
      <c r="U34" s="10">
        <v>2</v>
      </c>
      <c r="V34" s="10">
        <v>2</v>
      </c>
      <c r="W34" s="10">
        <v>2</v>
      </c>
      <c r="X34" s="10">
        <v>2</v>
      </c>
      <c r="Y34" s="10">
        <v>2</v>
      </c>
      <c r="Z34" s="1">
        <f t="shared" si="0"/>
        <v>25</v>
      </c>
    </row>
    <row r="35" spans="1:26" ht="36.75" customHeight="1" x14ac:dyDescent="0.2">
      <c r="A35" t="s">
        <v>84</v>
      </c>
      <c r="B35" s="13">
        <v>43200</v>
      </c>
      <c r="C35" s="13">
        <v>43200</v>
      </c>
      <c r="D35">
        <v>6951508</v>
      </c>
      <c r="E35" t="s">
        <v>85</v>
      </c>
      <c r="F35" t="s">
        <v>15</v>
      </c>
      <c r="G35" t="s">
        <v>86</v>
      </c>
      <c r="H35">
        <v>5180335</v>
      </c>
      <c r="I35">
        <v>3</v>
      </c>
      <c r="J35">
        <v>4</v>
      </c>
      <c r="K35" t="s">
        <v>17</v>
      </c>
      <c r="L35" s="10">
        <v>2</v>
      </c>
      <c r="M35" s="10">
        <v>2</v>
      </c>
      <c r="N35" s="10">
        <v>2</v>
      </c>
      <c r="O35" s="10">
        <v>0</v>
      </c>
      <c r="P35" s="10">
        <v>2</v>
      </c>
      <c r="Q35" s="10">
        <v>2</v>
      </c>
      <c r="R35" s="10">
        <v>2</v>
      </c>
      <c r="S35" s="10">
        <v>2</v>
      </c>
      <c r="T35" s="10">
        <v>2</v>
      </c>
      <c r="U35" s="10">
        <v>2</v>
      </c>
      <c r="V35" s="10">
        <v>2</v>
      </c>
      <c r="W35" s="10">
        <v>2</v>
      </c>
      <c r="X35" s="10">
        <v>2</v>
      </c>
      <c r="Y35" s="10">
        <v>2</v>
      </c>
      <c r="Z35" s="1">
        <f t="shared" si="0"/>
        <v>26</v>
      </c>
    </row>
    <row r="36" spans="1:26" ht="25" customHeight="1" x14ac:dyDescent="0.2">
      <c r="A36" t="s">
        <v>87</v>
      </c>
      <c r="B36" s="13">
        <v>44832</v>
      </c>
      <c r="C36" s="13">
        <v>44832</v>
      </c>
      <c r="D36">
        <v>109527</v>
      </c>
      <c r="E36" t="s">
        <v>88</v>
      </c>
      <c r="F36" t="s">
        <v>10</v>
      </c>
      <c r="G36" t="s">
        <v>89</v>
      </c>
      <c r="H36">
        <v>109527</v>
      </c>
      <c r="I36">
        <v>3</v>
      </c>
      <c r="J36">
        <v>3</v>
      </c>
      <c r="K36" t="s">
        <v>17</v>
      </c>
      <c r="L36" s="10">
        <v>2</v>
      </c>
      <c r="M36" s="10">
        <v>2</v>
      </c>
      <c r="N36" s="10">
        <v>2</v>
      </c>
      <c r="O36" s="10">
        <v>0</v>
      </c>
      <c r="P36" s="10">
        <v>2</v>
      </c>
      <c r="Q36" s="10">
        <v>2</v>
      </c>
      <c r="R36" s="10">
        <v>0</v>
      </c>
      <c r="S36" s="10">
        <v>0</v>
      </c>
      <c r="T36" s="10">
        <v>0</v>
      </c>
      <c r="U36" s="10">
        <v>2</v>
      </c>
      <c r="V36" s="10">
        <v>2</v>
      </c>
      <c r="W36" s="10">
        <v>2</v>
      </c>
      <c r="X36" s="10">
        <v>2</v>
      </c>
      <c r="Y36" s="10">
        <v>2</v>
      </c>
      <c r="Z36" s="1">
        <f t="shared" si="0"/>
        <v>20</v>
      </c>
    </row>
    <row r="37" spans="1:26" ht="20" customHeight="1" x14ac:dyDescent="0.2">
      <c r="A37" t="s">
        <v>90</v>
      </c>
      <c r="B37" s="13">
        <v>44153</v>
      </c>
      <c r="C37" s="13">
        <v>44179</v>
      </c>
      <c r="D37">
        <v>977955</v>
      </c>
      <c r="E37" t="s">
        <v>91</v>
      </c>
      <c r="F37" t="s">
        <v>15</v>
      </c>
      <c r="G37" t="s">
        <v>92</v>
      </c>
      <c r="H37">
        <v>608786</v>
      </c>
      <c r="I37">
        <v>3</v>
      </c>
      <c r="J37">
        <v>5</v>
      </c>
      <c r="K37" t="s">
        <v>17</v>
      </c>
      <c r="L37" s="10">
        <v>2</v>
      </c>
      <c r="M37" s="10">
        <v>2</v>
      </c>
      <c r="N37" s="10">
        <v>2</v>
      </c>
      <c r="O37" s="10">
        <v>0</v>
      </c>
      <c r="P37" s="10">
        <v>2</v>
      </c>
      <c r="Q37" s="10">
        <v>2</v>
      </c>
      <c r="R37" s="10">
        <v>1</v>
      </c>
      <c r="S37" s="10">
        <v>2</v>
      </c>
      <c r="T37" s="10">
        <v>2</v>
      </c>
      <c r="U37" s="10">
        <v>2</v>
      </c>
      <c r="V37" s="10">
        <v>2</v>
      </c>
      <c r="W37" s="10">
        <v>2</v>
      </c>
      <c r="X37" s="10">
        <v>2</v>
      </c>
      <c r="Y37" s="10">
        <v>2</v>
      </c>
      <c r="Z37" s="1">
        <f t="shared" si="0"/>
        <v>25</v>
      </c>
    </row>
    <row r="38" spans="1:26" ht="30" customHeight="1" x14ac:dyDescent="0.2">
      <c r="A38" t="s">
        <v>87</v>
      </c>
      <c r="B38" s="13">
        <v>44537</v>
      </c>
      <c r="C38" s="13">
        <v>44922</v>
      </c>
      <c r="D38">
        <v>248558</v>
      </c>
      <c r="E38" t="s">
        <v>93</v>
      </c>
      <c r="F38" t="s">
        <v>10</v>
      </c>
      <c r="G38" t="s">
        <v>94</v>
      </c>
      <c r="H38">
        <v>171885</v>
      </c>
      <c r="I38">
        <v>3</v>
      </c>
      <c r="J38">
        <v>3</v>
      </c>
      <c r="K38" t="s">
        <v>17</v>
      </c>
      <c r="L38" s="10">
        <v>2</v>
      </c>
      <c r="M38" s="10">
        <v>2</v>
      </c>
      <c r="N38" s="10">
        <v>2</v>
      </c>
      <c r="O38" s="10">
        <v>0</v>
      </c>
      <c r="P38" s="10">
        <v>2</v>
      </c>
      <c r="Q38" s="10">
        <v>2</v>
      </c>
      <c r="R38" s="10">
        <v>1</v>
      </c>
      <c r="S38" s="10">
        <v>0</v>
      </c>
      <c r="T38" s="10">
        <v>0</v>
      </c>
      <c r="U38" s="10">
        <v>2</v>
      </c>
      <c r="V38" s="10">
        <v>2</v>
      </c>
      <c r="W38" s="10">
        <v>2</v>
      </c>
      <c r="X38" s="10">
        <v>2</v>
      </c>
      <c r="Y38" s="10">
        <v>2</v>
      </c>
      <c r="Z38" s="1">
        <f t="shared" si="0"/>
        <v>21</v>
      </c>
    </row>
    <row r="39" spans="1:26" ht="15" customHeight="1" x14ac:dyDescent="0.2">
      <c r="A39" t="s">
        <v>95</v>
      </c>
      <c r="B39" s="13">
        <v>45604</v>
      </c>
      <c r="C39" s="13">
        <v>45736</v>
      </c>
      <c r="D39">
        <v>230</v>
      </c>
      <c r="E39" t="s">
        <v>96</v>
      </c>
      <c r="F39" t="s">
        <v>10</v>
      </c>
      <c r="G39" t="s">
        <v>97</v>
      </c>
      <c r="H39">
        <v>12</v>
      </c>
      <c r="I39">
        <v>2</v>
      </c>
      <c r="J39" t="s">
        <v>228</v>
      </c>
      <c r="K39" t="s">
        <v>12</v>
      </c>
      <c r="L39">
        <v>0</v>
      </c>
      <c r="M39">
        <v>0</v>
      </c>
      <c r="N39">
        <v>2</v>
      </c>
      <c r="O39">
        <v>1</v>
      </c>
      <c r="P39">
        <v>0</v>
      </c>
      <c r="Q39">
        <v>2</v>
      </c>
      <c r="R39">
        <v>0</v>
      </c>
      <c r="S39">
        <v>0</v>
      </c>
      <c r="T39">
        <v>2</v>
      </c>
      <c r="U39">
        <v>2</v>
      </c>
      <c r="V39">
        <v>2</v>
      </c>
      <c r="W39">
        <v>2</v>
      </c>
      <c r="X39">
        <v>0</v>
      </c>
      <c r="Y39">
        <v>2</v>
      </c>
      <c r="Z39" s="1">
        <f t="shared" ref="Z39:Z70" si="1">SUM(L39:Y39)</f>
        <v>15</v>
      </c>
    </row>
    <row r="40" spans="1:26" ht="14.25" customHeight="1" x14ac:dyDescent="0.2">
      <c r="A40" t="s">
        <v>21</v>
      </c>
      <c r="B40" s="13">
        <v>43608</v>
      </c>
      <c r="C40" s="13">
        <v>43608</v>
      </c>
      <c r="D40">
        <v>2692244</v>
      </c>
      <c r="E40" t="s">
        <v>98</v>
      </c>
      <c r="F40" t="s">
        <v>15</v>
      </c>
      <c r="G40" t="s">
        <v>99</v>
      </c>
      <c r="H40">
        <v>1513044</v>
      </c>
      <c r="I40">
        <v>3</v>
      </c>
      <c r="J40">
        <v>1</v>
      </c>
      <c r="K40" t="s">
        <v>24</v>
      </c>
      <c r="L40">
        <v>1</v>
      </c>
      <c r="M40">
        <v>2</v>
      </c>
      <c r="N40">
        <v>2</v>
      </c>
      <c r="O40">
        <v>1</v>
      </c>
      <c r="P40">
        <v>2</v>
      </c>
      <c r="Q40">
        <v>2</v>
      </c>
      <c r="R40">
        <v>2</v>
      </c>
      <c r="S40">
        <v>2</v>
      </c>
      <c r="T40">
        <v>0</v>
      </c>
      <c r="U40">
        <v>2</v>
      </c>
      <c r="V40">
        <v>2</v>
      </c>
      <c r="W40">
        <v>2</v>
      </c>
      <c r="X40">
        <v>2</v>
      </c>
      <c r="Y40">
        <v>2</v>
      </c>
      <c r="Z40" s="1">
        <f t="shared" si="1"/>
        <v>24</v>
      </c>
    </row>
    <row r="41" spans="1:26" ht="27" customHeight="1" x14ac:dyDescent="0.2">
      <c r="A41" t="s">
        <v>13</v>
      </c>
      <c r="B41" s="13">
        <v>41803</v>
      </c>
      <c r="C41" s="13">
        <v>41803</v>
      </c>
      <c r="D41">
        <v>36612042</v>
      </c>
      <c r="E41" t="s">
        <v>100</v>
      </c>
      <c r="F41" t="s">
        <v>15</v>
      </c>
      <c r="G41" t="s">
        <v>101</v>
      </c>
      <c r="H41">
        <v>15775221</v>
      </c>
      <c r="I41">
        <v>3</v>
      </c>
      <c r="J41">
        <v>3</v>
      </c>
      <c r="K41" t="s">
        <v>17</v>
      </c>
      <c r="L41" s="10">
        <v>2</v>
      </c>
      <c r="M41" s="10">
        <v>2</v>
      </c>
      <c r="N41" s="10">
        <v>2</v>
      </c>
      <c r="O41" s="10">
        <v>2</v>
      </c>
      <c r="P41" s="10">
        <v>1</v>
      </c>
      <c r="Q41" s="10">
        <v>2</v>
      </c>
      <c r="R41" s="10">
        <v>2</v>
      </c>
      <c r="S41" s="10">
        <v>2</v>
      </c>
      <c r="T41" s="10">
        <v>2</v>
      </c>
      <c r="U41" s="10">
        <v>2</v>
      </c>
      <c r="V41" s="10">
        <v>2</v>
      </c>
      <c r="W41" s="10">
        <v>2</v>
      </c>
      <c r="X41" s="10">
        <v>2</v>
      </c>
      <c r="Y41" s="10">
        <v>2</v>
      </c>
      <c r="Z41" s="1">
        <f t="shared" si="1"/>
        <v>27</v>
      </c>
    </row>
    <row r="42" spans="1:26" x14ac:dyDescent="0.2">
      <c r="A42" t="s">
        <v>49</v>
      </c>
      <c r="B42" s="13">
        <v>41771</v>
      </c>
      <c r="C42" s="13">
        <v>41771</v>
      </c>
      <c r="D42">
        <v>299772</v>
      </c>
      <c r="E42" t="s">
        <v>102</v>
      </c>
      <c r="F42" t="s">
        <v>10</v>
      </c>
      <c r="G42" t="s">
        <v>42</v>
      </c>
      <c r="H42">
        <v>295772</v>
      </c>
      <c r="I42">
        <v>2</v>
      </c>
      <c r="J42">
        <v>5</v>
      </c>
      <c r="K42" t="s">
        <v>17</v>
      </c>
      <c r="L42" s="7">
        <v>1</v>
      </c>
      <c r="M42" s="7">
        <v>2</v>
      </c>
      <c r="N42" s="10">
        <v>2</v>
      </c>
      <c r="O42" s="7">
        <v>1</v>
      </c>
      <c r="P42" s="10">
        <v>1</v>
      </c>
      <c r="Q42" s="10">
        <v>0</v>
      </c>
      <c r="R42" s="7">
        <v>0</v>
      </c>
      <c r="S42" s="7">
        <v>0</v>
      </c>
      <c r="T42" s="7">
        <v>2</v>
      </c>
      <c r="U42" s="10">
        <v>2</v>
      </c>
      <c r="V42" s="10">
        <v>2</v>
      </c>
      <c r="W42" s="10">
        <v>2</v>
      </c>
      <c r="X42" s="10">
        <v>2</v>
      </c>
      <c r="Y42" s="10">
        <v>2</v>
      </c>
      <c r="Z42" s="1">
        <f t="shared" si="1"/>
        <v>19</v>
      </c>
    </row>
    <row r="43" spans="1:26" ht="20" customHeight="1" x14ac:dyDescent="0.2">
      <c r="A43" t="s">
        <v>21</v>
      </c>
      <c r="B43" s="13">
        <v>42314</v>
      </c>
      <c r="C43" s="13">
        <v>42314</v>
      </c>
      <c r="D43">
        <v>1407657</v>
      </c>
      <c r="E43" t="s">
        <v>103</v>
      </c>
      <c r="F43" t="s">
        <v>15</v>
      </c>
      <c r="G43" t="s">
        <v>23</v>
      </c>
      <c r="H43">
        <v>618462</v>
      </c>
      <c r="I43">
        <v>3</v>
      </c>
      <c r="J43">
        <v>3</v>
      </c>
      <c r="K43" t="s">
        <v>17</v>
      </c>
      <c r="L43" s="7">
        <v>2</v>
      </c>
      <c r="M43" s="7">
        <v>2</v>
      </c>
      <c r="N43" s="10">
        <v>2</v>
      </c>
      <c r="O43">
        <v>0</v>
      </c>
      <c r="P43" s="10">
        <v>0</v>
      </c>
      <c r="Q43" s="10">
        <v>2</v>
      </c>
      <c r="R43">
        <v>0</v>
      </c>
      <c r="S43">
        <v>0</v>
      </c>
      <c r="T43" s="7">
        <v>2</v>
      </c>
      <c r="U43" s="10">
        <v>2</v>
      </c>
      <c r="V43" s="10">
        <v>2</v>
      </c>
      <c r="W43" s="10">
        <v>2</v>
      </c>
      <c r="X43" s="10">
        <v>2</v>
      </c>
      <c r="Y43" s="10">
        <v>2</v>
      </c>
      <c r="Z43" s="1">
        <f t="shared" si="1"/>
        <v>20</v>
      </c>
    </row>
    <row r="44" spans="1:26" ht="13" customHeight="1" x14ac:dyDescent="0.2">
      <c r="A44" t="s">
        <v>104</v>
      </c>
      <c r="B44" s="13">
        <v>43830</v>
      </c>
      <c r="C44" s="13">
        <v>43830</v>
      </c>
      <c r="D44">
        <v>10595345</v>
      </c>
      <c r="E44" t="s">
        <v>105</v>
      </c>
      <c r="F44" t="s">
        <v>15</v>
      </c>
      <c r="G44" t="s">
        <v>106</v>
      </c>
      <c r="H44">
        <v>8092879</v>
      </c>
      <c r="I44">
        <v>3</v>
      </c>
      <c r="J44">
        <v>4</v>
      </c>
      <c r="K44" t="s">
        <v>17</v>
      </c>
      <c r="L44" s="7">
        <v>2</v>
      </c>
      <c r="M44" s="7">
        <v>2</v>
      </c>
      <c r="N44" s="10">
        <v>2</v>
      </c>
      <c r="O44" s="7">
        <v>2</v>
      </c>
      <c r="P44" s="10">
        <v>2</v>
      </c>
      <c r="Q44" s="10">
        <v>2</v>
      </c>
      <c r="R44" s="7">
        <v>2</v>
      </c>
      <c r="S44" s="7">
        <v>1</v>
      </c>
      <c r="T44" s="7">
        <v>2</v>
      </c>
      <c r="U44" s="10">
        <v>2</v>
      </c>
      <c r="V44" s="10">
        <v>2</v>
      </c>
      <c r="W44" s="10">
        <v>2</v>
      </c>
      <c r="X44" s="10">
        <v>2</v>
      </c>
      <c r="Y44" s="10">
        <v>2</v>
      </c>
      <c r="Z44" s="1">
        <f t="shared" si="1"/>
        <v>27</v>
      </c>
    </row>
    <row r="45" spans="1:26" ht="26" customHeight="1" x14ac:dyDescent="0.2">
      <c r="A45" t="s">
        <v>31</v>
      </c>
      <c r="B45" s="13">
        <v>44669</v>
      </c>
      <c r="C45" s="13">
        <v>44741</v>
      </c>
      <c r="D45">
        <v>527869</v>
      </c>
      <c r="E45" t="s">
        <v>107</v>
      </c>
      <c r="F45" t="s">
        <v>10</v>
      </c>
      <c r="G45" t="s">
        <v>108</v>
      </c>
      <c r="H45">
        <v>277552</v>
      </c>
      <c r="I45">
        <v>3</v>
      </c>
      <c r="J45" t="s">
        <v>228</v>
      </c>
      <c r="K45" t="s">
        <v>12</v>
      </c>
      <c r="L45">
        <v>2</v>
      </c>
      <c r="M45">
        <v>2</v>
      </c>
      <c r="N45">
        <v>1</v>
      </c>
      <c r="O45">
        <v>1</v>
      </c>
      <c r="P45">
        <v>1</v>
      </c>
      <c r="Q45" s="10">
        <v>2</v>
      </c>
      <c r="R45">
        <v>0</v>
      </c>
      <c r="S45">
        <v>2</v>
      </c>
      <c r="T45" s="7">
        <v>2</v>
      </c>
      <c r="U45">
        <v>0</v>
      </c>
      <c r="V45">
        <v>2</v>
      </c>
      <c r="W45">
        <v>2</v>
      </c>
      <c r="X45" s="10">
        <v>0</v>
      </c>
      <c r="Y45">
        <v>2</v>
      </c>
      <c r="Z45" s="1">
        <f t="shared" si="1"/>
        <v>19</v>
      </c>
    </row>
    <row r="46" spans="1:26" ht="14.25" customHeight="1" x14ac:dyDescent="0.2">
      <c r="A46" t="s">
        <v>43</v>
      </c>
      <c r="B46" s="13">
        <v>43056</v>
      </c>
      <c r="C46" s="13">
        <v>43056</v>
      </c>
      <c r="D46">
        <v>8335912</v>
      </c>
      <c r="E46" t="s">
        <v>109</v>
      </c>
      <c r="F46" t="s">
        <v>10</v>
      </c>
      <c r="G46" t="s">
        <v>110</v>
      </c>
      <c r="H46">
        <v>5501737</v>
      </c>
      <c r="I46">
        <v>3</v>
      </c>
      <c r="J46">
        <v>3</v>
      </c>
      <c r="K46" t="s">
        <v>17</v>
      </c>
      <c r="L46" s="7">
        <v>1</v>
      </c>
      <c r="M46" s="7">
        <v>2</v>
      </c>
      <c r="N46" s="10">
        <v>2</v>
      </c>
      <c r="O46" s="7">
        <v>1</v>
      </c>
      <c r="P46" s="7">
        <v>2</v>
      </c>
      <c r="Q46" s="7">
        <v>2</v>
      </c>
      <c r="R46" s="7">
        <v>0</v>
      </c>
      <c r="S46" s="7">
        <v>0</v>
      </c>
      <c r="T46">
        <v>0</v>
      </c>
      <c r="U46" s="10">
        <v>2</v>
      </c>
      <c r="V46" s="10">
        <v>2</v>
      </c>
      <c r="W46" s="10">
        <v>2</v>
      </c>
      <c r="X46" s="10">
        <v>2</v>
      </c>
      <c r="Y46" s="10">
        <v>2</v>
      </c>
      <c r="Z46" s="1">
        <f t="shared" si="1"/>
        <v>20</v>
      </c>
    </row>
    <row r="47" spans="1:26" ht="19.5" customHeight="1" x14ac:dyDescent="0.2">
      <c r="A47" t="s">
        <v>31</v>
      </c>
      <c r="B47" s="13">
        <v>45730</v>
      </c>
      <c r="C47" s="13">
        <v>45730</v>
      </c>
      <c r="D47">
        <v>73093</v>
      </c>
      <c r="E47" t="s">
        <v>111</v>
      </c>
      <c r="F47" t="s">
        <v>10</v>
      </c>
      <c r="G47" t="s">
        <v>112</v>
      </c>
      <c r="H47">
        <v>73093</v>
      </c>
      <c r="I47">
        <v>3</v>
      </c>
      <c r="J47" t="s">
        <v>228</v>
      </c>
      <c r="K47" t="s">
        <v>12</v>
      </c>
      <c r="L47">
        <v>1</v>
      </c>
      <c r="M47">
        <v>2</v>
      </c>
      <c r="N47">
        <v>2</v>
      </c>
      <c r="O47">
        <v>1</v>
      </c>
      <c r="P47">
        <v>2</v>
      </c>
      <c r="Q47">
        <v>1</v>
      </c>
      <c r="R47">
        <v>1</v>
      </c>
      <c r="S47">
        <v>2</v>
      </c>
      <c r="T47" s="7">
        <v>1</v>
      </c>
      <c r="U47">
        <v>2</v>
      </c>
      <c r="V47">
        <v>2</v>
      </c>
      <c r="W47">
        <v>2</v>
      </c>
      <c r="X47">
        <v>2</v>
      </c>
      <c r="Y47">
        <v>2</v>
      </c>
      <c r="Z47" s="1">
        <f t="shared" si="1"/>
        <v>23</v>
      </c>
    </row>
    <row r="48" spans="1:26" ht="17.25" customHeight="1" x14ac:dyDescent="0.2">
      <c r="A48" t="s">
        <v>69</v>
      </c>
      <c r="B48" s="13">
        <v>44720</v>
      </c>
      <c r="C48" s="13">
        <v>44923</v>
      </c>
      <c r="D48">
        <v>609543</v>
      </c>
      <c r="E48" t="s">
        <v>113</v>
      </c>
      <c r="F48" t="s">
        <v>10</v>
      </c>
      <c r="G48" t="s">
        <v>114</v>
      </c>
      <c r="H48">
        <v>387663</v>
      </c>
      <c r="I48">
        <v>3</v>
      </c>
      <c r="J48">
        <v>2</v>
      </c>
      <c r="K48" t="s">
        <v>17</v>
      </c>
      <c r="L48" s="7">
        <v>1</v>
      </c>
      <c r="M48" s="7">
        <v>2</v>
      </c>
      <c r="N48" s="10">
        <v>2</v>
      </c>
      <c r="O48" s="7">
        <v>0</v>
      </c>
      <c r="P48" s="7">
        <v>2</v>
      </c>
      <c r="Q48" s="7">
        <v>2</v>
      </c>
      <c r="R48" s="7">
        <v>2</v>
      </c>
      <c r="S48" s="7">
        <v>0</v>
      </c>
      <c r="T48" s="7">
        <v>0</v>
      </c>
      <c r="U48" s="10">
        <v>2</v>
      </c>
      <c r="V48" s="10">
        <v>2</v>
      </c>
      <c r="W48" s="10">
        <v>2</v>
      </c>
      <c r="X48" s="10">
        <v>2</v>
      </c>
      <c r="Y48" s="10">
        <v>2</v>
      </c>
      <c r="Z48" s="1">
        <f t="shared" si="1"/>
        <v>21</v>
      </c>
    </row>
    <row r="49" spans="1:26" ht="16.5" customHeight="1" x14ac:dyDescent="0.2">
      <c r="A49" t="s">
        <v>90</v>
      </c>
      <c r="B49" s="13">
        <v>44158</v>
      </c>
      <c r="C49" s="13">
        <v>44179</v>
      </c>
      <c r="D49">
        <v>3565155</v>
      </c>
      <c r="E49" t="s">
        <v>115</v>
      </c>
      <c r="F49" t="s">
        <v>15</v>
      </c>
      <c r="G49" t="s">
        <v>92</v>
      </c>
      <c r="H49">
        <v>3105072</v>
      </c>
      <c r="I49">
        <v>3</v>
      </c>
      <c r="J49">
        <v>5</v>
      </c>
      <c r="K49" t="s">
        <v>17</v>
      </c>
      <c r="L49" s="7">
        <v>2</v>
      </c>
      <c r="M49" s="7">
        <v>2</v>
      </c>
      <c r="N49">
        <v>2</v>
      </c>
      <c r="O49" s="7">
        <v>0</v>
      </c>
      <c r="P49" s="7">
        <v>2</v>
      </c>
      <c r="Q49" s="7">
        <v>2</v>
      </c>
      <c r="R49" s="7">
        <v>2</v>
      </c>
      <c r="S49" s="7">
        <v>1</v>
      </c>
      <c r="T49" s="7">
        <v>2</v>
      </c>
      <c r="U49">
        <v>2</v>
      </c>
      <c r="V49">
        <v>2</v>
      </c>
      <c r="W49">
        <v>2</v>
      </c>
      <c r="X49">
        <v>2</v>
      </c>
      <c r="Y49">
        <v>2</v>
      </c>
      <c r="Z49" s="1">
        <f t="shared" si="1"/>
        <v>25</v>
      </c>
    </row>
    <row r="50" spans="1:26" ht="9.75" customHeight="1" x14ac:dyDescent="0.2">
      <c r="A50" t="s">
        <v>87</v>
      </c>
      <c r="B50" s="13">
        <v>44588</v>
      </c>
      <c r="C50" s="13">
        <v>44588</v>
      </c>
      <c r="D50">
        <v>182466</v>
      </c>
      <c r="E50" t="s">
        <v>116</v>
      </c>
      <c r="F50" t="s">
        <v>10</v>
      </c>
      <c r="G50" t="s">
        <v>117</v>
      </c>
      <c r="H50">
        <v>182466</v>
      </c>
      <c r="I50">
        <v>3</v>
      </c>
      <c r="J50">
        <v>3</v>
      </c>
      <c r="K50" t="s">
        <v>17</v>
      </c>
      <c r="L50" s="7">
        <v>2</v>
      </c>
      <c r="M50" s="7">
        <v>2</v>
      </c>
      <c r="N50" s="10">
        <v>2</v>
      </c>
      <c r="O50" s="7">
        <v>0</v>
      </c>
      <c r="P50" s="7">
        <v>2</v>
      </c>
      <c r="Q50" s="7">
        <v>2</v>
      </c>
      <c r="R50" s="7">
        <v>0</v>
      </c>
      <c r="S50" s="7">
        <v>0</v>
      </c>
      <c r="T50" s="7">
        <v>0</v>
      </c>
      <c r="U50" s="10">
        <v>2</v>
      </c>
      <c r="V50" s="10">
        <v>2</v>
      </c>
      <c r="W50" s="10">
        <v>2</v>
      </c>
      <c r="X50" s="10">
        <v>2</v>
      </c>
      <c r="Y50" s="10">
        <v>2</v>
      </c>
      <c r="Z50" s="1">
        <f t="shared" si="1"/>
        <v>20</v>
      </c>
    </row>
    <row r="51" spans="1:26" ht="15" customHeight="1" x14ac:dyDescent="0.2">
      <c r="A51" t="s">
        <v>13</v>
      </c>
      <c r="B51" s="13">
        <v>41597</v>
      </c>
      <c r="C51" s="13">
        <v>41597</v>
      </c>
      <c r="D51">
        <v>19058921</v>
      </c>
      <c r="E51" t="s">
        <v>118</v>
      </c>
      <c r="F51" t="s">
        <v>15</v>
      </c>
      <c r="G51" t="s">
        <v>119</v>
      </c>
      <c r="H51">
        <v>8071919</v>
      </c>
      <c r="I51">
        <v>3</v>
      </c>
      <c r="J51" t="s">
        <v>228</v>
      </c>
      <c r="K51" t="s">
        <v>12</v>
      </c>
      <c r="L51">
        <v>1</v>
      </c>
      <c r="M51">
        <v>2</v>
      </c>
      <c r="N51">
        <v>2</v>
      </c>
      <c r="O51">
        <v>1</v>
      </c>
      <c r="P51">
        <v>1</v>
      </c>
      <c r="Q51">
        <v>1</v>
      </c>
      <c r="R51">
        <v>0</v>
      </c>
      <c r="S51">
        <v>0</v>
      </c>
      <c r="T51">
        <v>0</v>
      </c>
      <c r="U51">
        <v>2</v>
      </c>
      <c r="V51">
        <v>2</v>
      </c>
      <c r="W51">
        <v>2</v>
      </c>
      <c r="X51">
        <v>1</v>
      </c>
      <c r="Y51">
        <v>2</v>
      </c>
      <c r="Z51" s="1">
        <f t="shared" si="1"/>
        <v>17</v>
      </c>
    </row>
    <row r="52" spans="1:26" ht="20.25" customHeight="1" x14ac:dyDescent="0.2">
      <c r="A52" t="s">
        <v>120</v>
      </c>
      <c r="B52" s="13">
        <v>44288</v>
      </c>
      <c r="C52" s="13">
        <v>44685</v>
      </c>
      <c r="D52">
        <v>302043</v>
      </c>
      <c r="E52" t="s">
        <v>121</v>
      </c>
      <c r="F52" t="s">
        <v>15</v>
      </c>
      <c r="G52" t="s">
        <v>122</v>
      </c>
      <c r="H52">
        <v>131169</v>
      </c>
      <c r="I52">
        <v>3</v>
      </c>
      <c r="J52" t="s">
        <v>228</v>
      </c>
      <c r="K52" t="s">
        <v>12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1</v>
      </c>
      <c r="S52">
        <v>0</v>
      </c>
      <c r="T52">
        <v>2</v>
      </c>
      <c r="U52">
        <v>2</v>
      </c>
      <c r="V52">
        <v>2</v>
      </c>
      <c r="W52">
        <v>2</v>
      </c>
      <c r="X52">
        <v>0</v>
      </c>
      <c r="Y52">
        <v>2</v>
      </c>
      <c r="Z52" s="1">
        <f t="shared" si="1"/>
        <v>14</v>
      </c>
    </row>
    <row r="53" spans="1:26" ht="15.75" customHeight="1" x14ac:dyDescent="0.2">
      <c r="A53" t="s">
        <v>8</v>
      </c>
      <c r="B53" s="13">
        <v>45208</v>
      </c>
      <c r="C53" s="13">
        <v>45408</v>
      </c>
      <c r="D53">
        <v>22708</v>
      </c>
      <c r="E53" t="s">
        <v>123</v>
      </c>
      <c r="F53" t="s">
        <v>10</v>
      </c>
      <c r="G53" t="s">
        <v>124</v>
      </c>
      <c r="H53">
        <v>6489</v>
      </c>
      <c r="I53">
        <v>2</v>
      </c>
      <c r="J53" t="s">
        <v>228</v>
      </c>
      <c r="K53" t="s">
        <v>12</v>
      </c>
      <c r="L53">
        <v>1</v>
      </c>
      <c r="M53">
        <v>2</v>
      </c>
      <c r="N53">
        <v>2</v>
      </c>
      <c r="O53">
        <v>1</v>
      </c>
      <c r="P53">
        <v>2</v>
      </c>
      <c r="Q53">
        <v>2</v>
      </c>
      <c r="R53">
        <v>2</v>
      </c>
      <c r="S53">
        <v>0</v>
      </c>
      <c r="T53">
        <v>1</v>
      </c>
      <c r="U53">
        <v>2</v>
      </c>
      <c r="V53">
        <v>2</v>
      </c>
      <c r="W53">
        <v>2</v>
      </c>
      <c r="X53">
        <v>0</v>
      </c>
      <c r="Y53">
        <v>2</v>
      </c>
      <c r="Z53" s="1">
        <f t="shared" si="1"/>
        <v>21</v>
      </c>
    </row>
    <row r="54" spans="1:26" ht="13" customHeight="1" x14ac:dyDescent="0.2">
      <c r="A54" t="s">
        <v>21</v>
      </c>
      <c r="B54" s="13">
        <v>41374</v>
      </c>
      <c r="C54" s="13">
        <v>41395</v>
      </c>
      <c r="D54">
        <v>8247669</v>
      </c>
      <c r="E54" t="s">
        <v>125</v>
      </c>
      <c r="F54" t="s">
        <v>15</v>
      </c>
      <c r="G54" t="s">
        <v>23</v>
      </c>
      <c r="H54">
        <v>4678008</v>
      </c>
      <c r="I54">
        <v>3</v>
      </c>
      <c r="J54" t="s">
        <v>228</v>
      </c>
      <c r="K54" t="s">
        <v>12</v>
      </c>
      <c r="L54">
        <v>2</v>
      </c>
      <c r="M54">
        <v>2</v>
      </c>
      <c r="N54">
        <v>2</v>
      </c>
      <c r="O54">
        <v>1</v>
      </c>
      <c r="P54">
        <v>1</v>
      </c>
      <c r="Q54">
        <v>2</v>
      </c>
      <c r="R54">
        <v>0</v>
      </c>
      <c r="S54">
        <v>2</v>
      </c>
      <c r="T54">
        <v>0</v>
      </c>
      <c r="U54">
        <v>2</v>
      </c>
      <c r="V54">
        <v>2</v>
      </c>
      <c r="W54">
        <v>2</v>
      </c>
      <c r="X54">
        <v>0</v>
      </c>
      <c r="Y54">
        <v>2</v>
      </c>
      <c r="Z54" s="1">
        <f t="shared" si="1"/>
        <v>20</v>
      </c>
    </row>
    <row r="55" spans="1:26" ht="16" customHeight="1" x14ac:dyDescent="0.2">
      <c r="A55" t="s">
        <v>21</v>
      </c>
      <c r="B55" s="13">
        <v>40779</v>
      </c>
      <c r="C55" s="13">
        <v>40898</v>
      </c>
      <c r="D55">
        <v>469003</v>
      </c>
      <c r="E55" t="s">
        <v>126</v>
      </c>
      <c r="F55" t="s">
        <v>10</v>
      </c>
      <c r="G55" t="s">
        <v>23</v>
      </c>
      <c r="H55">
        <v>340430</v>
      </c>
      <c r="I55">
        <v>3</v>
      </c>
      <c r="J55" t="s">
        <v>228</v>
      </c>
      <c r="K55" t="s">
        <v>17</v>
      </c>
      <c r="L55">
        <v>0</v>
      </c>
      <c r="M55">
        <v>2</v>
      </c>
      <c r="N55">
        <v>2</v>
      </c>
      <c r="O55">
        <v>1</v>
      </c>
      <c r="P55">
        <v>0</v>
      </c>
      <c r="Q55">
        <v>2</v>
      </c>
      <c r="R55">
        <v>0</v>
      </c>
      <c r="S55">
        <v>2</v>
      </c>
      <c r="T55">
        <v>0</v>
      </c>
      <c r="U55">
        <v>2</v>
      </c>
      <c r="V55">
        <v>2</v>
      </c>
      <c r="W55">
        <v>2</v>
      </c>
      <c r="X55">
        <v>2</v>
      </c>
      <c r="Y55">
        <v>2</v>
      </c>
      <c r="Z55" s="1">
        <f t="shared" si="1"/>
        <v>19</v>
      </c>
    </row>
    <row r="56" spans="1:26" ht="18.75" customHeight="1" x14ac:dyDescent="0.2">
      <c r="A56" t="s">
        <v>69</v>
      </c>
      <c r="B56" s="13">
        <v>43762</v>
      </c>
      <c r="C56" s="13">
        <v>43777</v>
      </c>
      <c r="D56">
        <v>544278</v>
      </c>
      <c r="E56" t="s">
        <v>127</v>
      </c>
      <c r="F56" t="s">
        <v>15</v>
      </c>
      <c r="G56" t="s">
        <v>128</v>
      </c>
      <c r="H56">
        <v>345171</v>
      </c>
      <c r="I56">
        <v>3</v>
      </c>
      <c r="J56">
        <v>4</v>
      </c>
      <c r="K56" t="s">
        <v>17</v>
      </c>
      <c r="L56">
        <v>2</v>
      </c>
      <c r="M56" s="7">
        <v>2</v>
      </c>
      <c r="N56" s="7">
        <v>2</v>
      </c>
      <c r="O56">
        <v>2</v>
      </c>
      <c r="P56" s="7">
        <v>2</v>
      </c>
      <c r="Q56" s="7">
        <v>2</v>
      </c>
      <c r="R56" s="6">
        <v>2</v>
      </c>
      <c r="S56">
        <v>2</v>
      </c>
      <c r="T56">
        <v>2</v>
      </c>
      <c r="U56" s="7">
        <v>2</v>
      </c>
      <c r="V56" s="7">
        <v>2</v>
      </c>
      <c r="W56">
        <v>2</v>
      </c>
      <c r="X56">
        <v>2</v>
      </c>
      <c r="Y56">
        <v>2</v>
      </c>
      <c r="Z56" s="1">
        <f t="shared" si="1"/>
        <v>28</v>
      </c>
    </row>
    <row r="57" spans="1:26" ht="18.75" customHeight="1" x14ac:dyDescent="0.2">
      <c r="A57" t="s">
        <v>129</v>
      </c>
      <c r="B57" s="13">
        <v>42088</v>
      </c>
      <c r="C57" s="13">
        <v>42088</v>
      </c>
      <c r="D57">
        <v>3325607</v>
      </c>
      <c r="E57" t="s">
        <v>130</v>
      </c>
      <c r="F57" t="s">
        <v>15</v>
      </c>
      <c r="G57" t="s">
        <v>23</v>
      </c>
      <c r="H57">
        <v>2897455</v>
      </c>
      <c r="I57">
        <v>3</v>
      </c>
      <c r="J57">
        <v>5</v>
      </c>
      <c r="K57" t="s">
        <v>17</v>
      </c>
      <c r="L57">
        <v>2</v>
      </c>
      <c r="M57" s="7">
        <v>2</v>
      </c>
      <c r="N57" s="7">
        <v>2</v>
      </c>
      <c r="O57">
        <v>2</v>
      </c>
      <c r="P57" s="7">
        <v>2</v>
      </c>
      <c r="Q57" s="7">
        <v>2</v>
      </c>
      <c r="R57">
        <v>2</v>
      </c>
      <c r="S57">
        <v>2</v>
      </c>
      <c r="T57">
        <v>2</v>
      </c>
      <c r="U57" s="7">
        <v>2</v>
      </c>
      <c r="V57" s="7">
        <v>2</v>
      </c>
      <c r="W57">
        <v>2</v>
      </c>
      <c r="X57">
        <v>2</v>
      </c>
      <c r="Y57">
        <v>2</v>
      </c>
      <c r="Z57" s="1">
        <f t="shared" si="1"/>
        <v>28</v>
      </c>
    </row>
    <row r="58" spans="1:26" ht="15.75" customHeight="1" x14ac:dyDescent="0.2">
      <c r="A58" t="s">
        <v>25</v>
      </c>
      <c r="B58" s="13">
        <v>44432</v>
      </c>
      <c r="C58" s="13">
        <v>44706</v>
      </c>
      <c r="D58">
        <v>645410</v>
      </c>
      <c r="E58" t="s">
        <v>131</v>
      </c>
      <c r="F58" t="s">
        <v>15</v>
      </c>
      <c r="G58" t="s">
        <v>132</v>
      </c>
      <c r="H58">
        <v>27975</v>
      </c>
      <c r="I58">
        <v>3</v>
      </c>
      <c r="J58">
        <v>3</v>
      </c>
      <c r="K58" t="s">
        <v>17</v>
      </c>
      <c r="L58">
        <v>1</v>
      </c>
      <c r="M58" s="7">
        <v>2</v>
      </c>
      <c r="N58" s="7">
        <v>2</v>
      </c>
      <c r="O58">
        <v>0</v>
      </c>
      <c r="P58" s="7">
        <v>2</v>
      </c>
      <c r="Q58" s="7">
        <v>2</v>
      </c>
      <c r="R58">
        <v>2</v>
      </c>
      <c r="S58">
        <v>2</v>
      </c>
      <c r="T58">
        <v>1</v>
      </c>
      <c r="U58" s="7">
        <v>2</v>
      </c>
      <c r="V58" s="7">
        <v>2</v>
      </c>
      <c r="W58">
        <v>2</v>
      </c>
      <c r="X58">
        <v>2</v>
      </c>
      <c r="Y58">
        <v>2</v>
      </c>
      <c r="Z58" s="1">
        <f t="shared" si="1"/>
        <v>24</v>
      </c>
    </row>
    <row r="59" spans="1:26" ht="12" customHeight="1" x14ac:dyDescent="0.2">
      <c r="A59" t="s">
        <v>13</v>
      </c>
      <c r="B59" s="13">
        <v>44299</v>
      </c>
      <c r="C59" s="13">
        <v>44376</v>
      </c>
      <c r="D59">
        <v>999130</v>
      </c>
      <c r="E59" t="s">
        <v>133</v>
      </c>
      <c r="F59" t="s">
        <v>15</v>
      </c>
      <c r="G59" t="s">
        <v>23</v>
      </c>
      <c r="H59">
        <v>482164</v>
      </c>
      <c r="I59">
        <v>3</v>
      </c>
      <c r="J59">
        <v>2</v>
      </c>
      <c r="K59" t="s">
        <v>17</v>
      </c>
      <c r="L59">
        <v>1</v>
      </c>
      <c r="M59" s="7">
        <v>2</v>
      </c>
      <c r="N59" s="7">
        <v>2</v>
      </c>
      <c r="O59">
        <v>2</v>
      </c>
      <c r="P59" s="7">
        <v>2</v>
      </c>
      <c r="Q59" s="7">
        <v>2</v>
      </c>
      <c r="R59">
        <v>1</v>
      </c>
      <c r="S59">
        <v>0</v>
      </c>
      <c r="T59">
        <v>2</v>
      </c>
      <c r="U59" s="7">
        <v>2</v>
      </c>
      <c r="V59" s="7">
        <v>2</v>
      </c>
      <c r="W59">
        <v>2</v>
      </c>
      <c r="X59">
        <v>2</v>
      </c>
      <c r="Y59">
        <v>2</v>
      </c>
      <c r="Z59" s="1">
        <f t="shared" si="1"/>
        <v>24</v>
      </c>
    </row>
    <row r="60" spans="1:26" ht="14.25" customHeight="1" x14ac:dyDescent="0.2">
      <c r="A60" t="s">
        <v>34</v>
      </c>
      <c r="B60" s="13">
        <v>42426</v>
      </c>
      <c r="C60" s="13">
        <v>42426</v>
      </c>
      <c r="D60">
        <v>168442</v>
      </c>
      <c r="E60" t="s">
        <v>134</v>
      </c>
      <c r="F60" t="s">
        <v>10</v>
      </c>
      <c r="G60" t="s">
        <v>42</v>
      </c>
      <c r="H60">
        <v>155897</v>
      </c>
      <c r="I60">
        <v>2</v>
      </c>
      <c r="J60">
        <v>5</v>
      </c>
      <c r="K60" t="s">
        <v>17</v>
      </c>
      <c r="L60">
        <v>2</v>
      </c>
      <c r="M60" s="7">
        <v>2</v>
      </c>
      <c r="N60" s="7">
        <v>2</v>
      </c>
      <c r="O60">
        <v>2</v>
      </c>
      <c r="P60" s="7">
        <v>2</v>
      </c>
      <c r="Q60" s="7">
        <v>2</v>
      </c>
      <c r="R60">
        <v>0</v>
      </c>
      <c r="S60">
        <v>2</v>
      </c>
      <c r="T60">
        <v>2</v>
      </c>
      <c r="U60" s="7">
        <v>2</v>
      </c>
      <c r="V60" s="7">
        <v>2</v>
      </c>
      <c r="W60">
        <v>2</v>
      </c>
      <c r="X60">
        <v>2</v>
      </c>
      <c r="Y60">
        <v>2</v>
      </c>
      <c r="Z60" s="1">
        <f t="shared" si="1"/>
        <v>26</v>
      </c>
    </row>
    <row r="61" spans="1:26" ht="27.75" customHeight="1" x14ac:dyDescent="0.2">
      <c r="A61" t="s">
        <v>69</v>
      </c>
      <c r="B61" s="13">
        <v>44709</v>
      </c>
      <c r="C61" s="13">
        <v>44735</v>
      </c>
      <c r="D61">
        <v>297261</v>
      </c>
      <c r="E61" t="s">
        <v>135</v>
      </c>
      <c r="F61" t="s">
        <v>10</v>
      </c>
      <c r="G61" t="s">
        <v>23</v>
      </c>
      <c r="H61">
        <v>194670</v>
      </c>
      <c r="I61">
        <v>3</v>
      </c>
      <c r="J61">
        <v>2</v>
      </c>
      <c r="K61" t="s">
        <v>17</v>
      </c>
      <c r="L61">
        <v>1</v>
      </c>
      <c r="M61" s="7">
        <v>2</v>
      </c>
      <c r="N61" s="7">
        <v>2</v>
      </c>
      <c r="O61">
        <v>1</v>
      </c>
      <c r="P61" s="7">
        <v>2</v>
      </c>
      <c r="Q61" s="7">
        <v>2</v>
      </c>
      <c r="R61">
        <v>0</v>
      </c>
      <c r="S61">
        <v>1</v>
      </c>
      <c r="T61">
        <v>0</v>
      </c>
      <c r="U61" s="7">
        <v>2</v>
      </c>
      <c r="V61" s="7">
        <v>2</v>
      </c>
      <c r="W61">
        <v>2</v>
      </c>
      <c r="X61">
        <v>2</v>
      </c>
      <c r="Y61">
        <v>2</v>
      </c>
      <c r="Z61" s="1">
        <f t="shared" si="1"/>
        <v>21</v>
      </c>
    </row>
    <row r="62" spans="1:26" x14ac:dyDescent="0.2">
      <c r="A62" t="s">
        <v>43</v>
      </c>
      <c r="B62" s="13">
        <v>43907</v>
      </c>
      <c r="C62" s="13">
        <v>43907</v>
      </c>
      <c r="D62">
        <v>5812947</v>
      </c>
      <c r="E62" t="s">
        <v>136</v>
      </c>
      <c r="F62" t="s">
        <v>10</v>
      </c>
      <c r="G62" t="s">
        <v>137</v>
      </c>
      <c r="H62">
        <v>2016160</v>
      </c>
      <c r="I62">
        <v>3</v>
      </c>
      <c r="J62" t="s">
        <v>228</v>
      </c>
      <c r="K62" t="s">
        <v>17</v>
      </c>
      <c r="L62">
        <v>0</v>
      </c>
      <c r="M62">
        <v>2</v>
      </c>
      <c r="N62">
        <v>2</v>
      </c>
      <c r="O62">
        <v>1</v>
      </c>
      <c r="P62">
        <v>2</v>
      </c>
      <c r="Q62">
        <v>2</v>
      </c>
      <c r="R62">
        <v>0</v>
      </c>
      <c r="S62">
        <v>0</v>
      </c>
      <c r="T62">
        <v>0</v>
      </c>
      <c r="U62">
        <v>2</v>
      </c>
      <c r="V62">
        <v>2</v>
      </c>
      <c r="W62">
        <v>2</v>
      </c>
      <c r="X62">
        <v>2</v>
      </c>
      <c r="Y62">
        <v>2</v>
      </c>
      <c r="Z62" s="1">
        <f t="shared" si="1"/>
        <v>19</v>
      </c>
    </row>
    <row r="63" spans="1:26" ht="17.25" customHeight="1" x14ac:dyDescent="0.2">
      <c r="A63" t="s">
        <v>13</v>
      </c>
      <c r="B63" s="13">
        <v>41437</v>
      </c>
      <c r="C63" s="13">
        <v>41439</v>
      </c>
      <c r="D63">
        <v>10651244</v>
      </c>
      <c r="E63" t="s">
        <v>138</v>
      </c>
      <c r="F63" t="s">
        <v>15</v>
      </c>
      <c r="G63" t="s">
        <v>23</v>
      </c>
      <c r="H63">
        <v>9198316</v>
      </c>
      <c r="I63">
        <v>3</v>
      </c>
      <c r="J63">
        <v>4</v>
      </c>
      <c r="K63" t="s">
        <v>17</v>
      </c>
      <c r="L63">
        <v>2</v>
      </c>
      <c r="M63" s="7">
        <v>2</v>
      </c>
      <c r="N63" s="7">
        <v>2</v>
      </c>
      <c r="O63">
        <v>1</v>
      </c>
      <c r="P63" s="7">
        <v>2</v>
      </c>
      <c r="Q63" s="7">
        <v>2</v>
      </c>
      <c r="R63">
        <v>2</v>
      </c>
      <c r="S63">
        <v>2</v>
      </c>
      <c r="T63">
        <v>0</v>
      </c>
      <c r="U63" s="7">
        <v>2</v>
      </c>
      <c r="V63">
        <v>2</v>
      </c>
      <c r="W63">
        <v>2</v>
      </c>
      <c r="X63">
        <v>2</v>
      </c>
      <c r="Y63">
        <v>2</v>
      </c>
      <c r="Z63" s="1">
        <f t="shared" si="1"/>
        <v>25</v>
      </c>
    </row>
    <row r="64" spans="1:26" ht="27.75" customHeight="1" x14ac:dyDescent="0.2">
      <c r="A64" t="s">
        <v>13</v>
      </c>
      <c r="B64" s="13">
        <v>42739</v>
      </c>
      <c r="C64" s="13">
        <v>42739</v>
      </c>
      <c r="D64">
        <v>576290</v>
      </c>
      <c r="E64" t="s">
        <v>139</v>
      </c>
      <c r="F64" t="s">
        <v>15</v>
      </c>
      <c r="G64" t="s">
        <v>54</v>
      </c>
      <c r="H64">
        <v>529371</v>
      </c>
      <c r="I64">
        <v>2</v>
      </c>
      <c r="J64">
        <v>3</v>
      </c>
      <c r="K64" t="s">
        <v>17</v>
      </c>
      <c r="L64">
        <v>2</v>
      </c>
      <c r="M64" s="7">
        <v>2</v>
      </c>
      <c r="N64" s="7">
        <v>2</v>
      </c>
      <c r="O64">
        <v>2</v>
      </c>
      <c r="P64" s="7">
        <v>0</v>
      </c>
      <c r="Q64" s="7">
        <v>0</v>
      </c>
      <c r="R64">
        <v>1</v>
      </c>
      <c r="S64">
        <v>1</v>
      </c>
      <c r="T64">
        <v>0</v>
      </c>
      <c r="U64" s="7">
        <v>2</v>
      </c>
      <c r="V64">
        <v>2</v>
      </c>
      <c r="W64">
        <v>2</v>
      </c>
      <c r="X64">
        <v>2</v>
      </c>
      <c r="Y64">
        <v>2</v>
      </c>
      <c r="Z64" s="1">
        <f t="shared" si="1"/>
        <v>20</v>
      </c>
    </row>
    <row r="65" spans="1:26" ht="17" customHeight="1" x14ac:dyDescent="0.2">
      <c r="A65" t="s">
        <v>84</v>
      </c>
      <c r="B65" s="13">
        <v>42702</v>
      </c>
      <c r="C65" s="13">
        <v>42810</v>
      </c>
      <c r="D65">
        <v>278197</v>
      </c>
      <c r="E65" t="s">
        <v>140</v>
      </c>
      <c r="F65" t="s">
        <v>10</v>
      </c>
      <c r="G65" t="s">
        <v>66</v>
      </c>
      <c r="H65">
        <v>134815</v>
      </c>
      <c r="I65">
        <v>2</v>
      </c>
      <c r="J65" t="s">
        <v>228</v>
      </c>
      <c r="K65" t="s">
        <v>12</v>
      </c>
      <c r="L65">
        <v>0</v>
      </c>
      <c r="M65">
        <v>0</v>
      </c>
      <c r="N65" s="7">
        <v>0</v>
      </c>
      <c r="O65">
        <v>1</v>
      </c>
      <c r="P65">
        <v>2</v>
      </c>
      <c r="Q65">
        <v>0</v>
      </c>
      <c r="R65">
        <v>0</v>
      </c>
      <c r="S65">
        <v>0</v>
      </c>
      <c r="T65">
        <v>0</v>
      </c>
      <c r="U65" s="7">
        <v>2</v>
      </c>
      <c r="V65">
        <v>2</v>
      </c>
      <c r="W65">
        <v>2</v>
      </c>
      <c r="X65">
        <v>0</v>
      </c>
      <c r="Y65">
        <v>2</v>
      </c>
      <c r="Z65" s="1">
        <f t="shared" si="1"/>
        <v>11</v>
      </c>
    </row>
    <row r="66" spans="1:26" ht="18.75" customHeight="1" x14ac:dyDescent="0.2">
      <c r="A66" t="s">
        <v>141</v>
      </c>
      <c r="B66" s="13">
        <v>45012</v>
      </c>
      <c r="C66" s="13">
        <v>45014</v>
      </c>
      <c r="D66">
        <v>51317</v>
      </c>
      <c r="E66" t="s">
        <v>142</v>
      </c>
      <c r="F66" t="s">
        <v>10</v>
      </c>
      <c r="G66" t="s">
        <v>143</v>
      </c>
      <c r="H66">
        <v>25137</v>
      </c>
      <c r="I66">
        <v>3</v>
      </c>
      <c r="J66">
        <v>4</v>
      </c>
      <c r="K66" t="s">
        <v>17</v>
      </c>
      <c r="L66">
        <v>1</v>
      </c>
      <c r="M66" s="7">
        <v>2</v>
      </c>
      <c r="N66" s="7">
        <v>2</v>
      </c>
      <c r="O66">
        <v>1</v>
      </c>
      <c r="P66" s="7">
        <v>2</v>
      </c>
      <c r="Q66" s="7">
        <v>2</v>
      </c>
      <c r="R66">
        <v>1</v>
      </c>
      <c r="S66">
        <v>0</v>
      </c>
      <c r="T66">
        <v>0</v>
      </c>
      <c r="U66" s="7">
        <v>2</v>
      </c>
      <c r="V66">
        <v>2</v>
      </c>
      <c r="W66">
        <v>2</v>
      </c>
      <c r="X66">
        <v>2</v>
      </c>
      <c r="Y66">
        <v>2</v>
      </c>
      <c r="Z66" s="1">
        <f t="shared" si="1"/>
        <v>21</v>
      </c>
    </row>
    <row r="67" spans="1:26" x14ac:dyDescent="0.2">
      <c r="A67" t="s">
        <v>43</v>
      </c>
      <c r="B67" s="13">
        <v>45103</v>
      </c>
      <c r="C67" s="13">
        <v>45322</v>
      </c>
      <c r="D67">
        <v>456402</v>
      </c>
      <c r="E67" t="s">
        <v>144</v>
      </c>
      <c r="F67" t="s">
        <v>10</v>
      </c>
      <c r="G67" t="s">
        <v>145</v>
      </c>
      <c r="H67">
        <v>80362</v>
      </c>
      <c r="I67">
        <v>3</v>
      </c>
      <c r="J67" t="s">
        <v>228</v>
      </c>
      <c r="K67" t="s">
        <v>12</v>
      </c>
      <c r="L67">
        <v>0</v>
      </c>
      <c r="M67">
        <v>0</v>
      </c>
      <c r="N67">
        <v>2</v>
      </c>
      <c r="O67">
        <v>1</v>
      </c>
      <c r="P67">
        <v>2</v>
      </c>
      <c r="Q67">
        <v>2</v>
      </c>
      <c r="R67">
        <v>0</v>
      </c>
      <c r="S67">
        <v>1</v>
      </c>
      <c r="T67">
        <v>0</v>
      </c>
      <c r="U67">
        <v>2</v>
      </c>
      <c r="V67">
        <v>2</v>
      </c>
      <c r="W67">
        <v>2</v>
      </c>
      <c r="X67">
        <v>0</v>
      </c>
      <c r="Y67">
        <v>2</v>
      </c>
      <c r="Z67" s="1">
        <f t="shared" si="1"/>
        <v>16</v>
      </c>
    </row>
    <row r="68" spans="1:26" ht="12.75" customHeight="1" x14ac:dyDescent="0.2">
      <c r="A68" t="s">
        <v>21</v>
      </c>
      <c r="B68" s="13">
        <v>41522</v>
      </c>
      <c r="C68" s="13">
        <v>41522</v>
      </c>
      <c r="D68">
        <v>2097201</v>
      </c>
      <c r="E68" t="s">
        <v>146</v>
      </c>
      <c r="F68" t="s">
        <v>15</v>
      </c>
      <c r="G68" t="s">
        <v>23</v>
      </c>
      <c r="H68">
        <v>1638050</v>
      </c>
      <c r="I68">
        <v>3</v>
      </c>
      <c r="J68">
        <v>3</v>
      </c>
      <c r="K68" t="s">
        <v>17</v>
      </c>
      <c r="L68">
        <v>2</v>
      </c>
      <c r="M68" s="7">
        <v>2</v>
      </c>
      <c r="N68" s="7">
        <v>2</v>
      </c>
      <c r="O68">
        <v>1</v>
      </c>
      <c r="P68" s="7">
        <v>2</v>
      </c>
      <c r="Q68" s="7">
        <v>2</v>
      </c>
      <c r="R68">
        <v>2</v>
      </c>
      <c r="S68">
        <v>2</v>
      </c>
      <c r="T68">
        <v>2</v>
      </c>
      <c r="U68" s="7">
        <v>2</v>
      </c>
      <c r="V68">
        <v>2</v>
      </c>
      <c r="W68">
        <v>2</v>
      </c>
      <c r="X68">
        <v>2</v>
      </c>
      <c r="Y68">
        <v>2</v>
      </c>
      <c r="Z68" s="1">
        <f t="shared" si="1"/>
        <v>27</v>
      </c>
    </row>
    <row r="69" spans="1:26" ht="18.75" customHeight="1" x14ac:dyDescent="0.2">
      <c r="A69" t="s">
        <v>43</v>
      </c>
      <c r="B69" s="13">
        <v>45077</v>
      </c>
      <c r="C69" s="13">
        <v>45175</v>
      </c>
      <c r="D69">
        <v>756188</v>
      </c>
      <c r="E69" t="s">
        <v>147</v>
      </c>
      <c r="F69" t="s">
        <v>10</v>
      </c>
      <c r="G69" t="s">
        <v>148</v>
      </c>
      <c r="H69">
        <v>262618</v>
      </c>
      <c r="I69">
        <v>3</v>
      </c>
      <c r="J69">
        <v>3</v>
      </c>
      <c r="K69" t="s">
        <v>17</v>
      </c>
      <c r="L69">
        <v>2</v>
      </c>
      <c r="M69" s="7">
        <v>2</v>
      </c>
      <c r="N69" s="7">
        <v>2</v>
      </c>
      <c r="O69">
        <v>1</v>
      </c>
      <c r="P69" s="7">
        <v>2</v>
      </c>
      <c r="Q69" s="7">
        <v>2</v>
      </c>
      <c r="R69">
        <v>2</v>
      </c>
      <c r="S69">
        <v>2</v>
      </c>
      <c r="T69">
        <v>0</v>
      </c>
      <c r="U69" s="7">
        <v>2</v>
      </c>
      <c r="V69">
        <v>2</v>
      </c>
      <c r="W69">
        <v>2</v>
      </c>
      <c r="X69">
        <v>2</v>
      </c>
      <c r="Y69">
        <v>2</v>
      </c>
      <c r="Z69" s="1">
        <f t="shared" si="1"/>
        <v>25</v>
      </c>
    </row>
    <row r="70" spans="1:26" ht="19" customHeight="1" x14ac:dyDescent="0.2">
      <c r="A70" t="s">
        <v>69</v>
      </c>
      <c r="B70" s="13">
        <v>43997</v>
      </c>
      <c r="C70" s="13">
        <v>44024</v>
      </c>
      <c r="D70">
        <v>1019569</v>
      </c>
      <c r="E70" t="s">
        <v>149</v>
      </c>
      <c r="F70" t="s">
        <v>15</v>
      </c>
      <c r="G70" t="s">
        <v>23</v>
      </c>
      <c r="H70">
        <v>849210</v>
      </c>
      <c r="I70">
        <v>3</v>
      </c>
      <c r="J70">
        <v>4</v>
      </c>
      <c r="K70" t="s">
        <v>17</v>
      </c>
      <c r="L70">
        <v>2</v>
      </c>
      <c r="M70" s="7">
        <v>2</v>
      </c>
      <c r="N70" s="7">
        <v>2</v>
      </c>
      <c r="O70">
        <v>2</v>
      </c>
      <c r="P70" s="7">
        <v>2</v>
      </c>
      <c r="Q70" s="7">
        <v>2</v>
      </c>
      <c r="R70">
        <v>2</v>
      </c>
      <c r="S70">
        <v>1</v>
      </c>
      <c r="T70">
        <v>2</v>
      </c>
      <c r="U70" s="7">
        <v>2</v>
      </c>
      <c r="V70">
        <v>2</v>
      </c>
      <c r="W70">
        <v>2</v>
      </c>
      <c r="X70">
        <v>2</v>
      </c>
      <c r="Y70">
        <v>2</v>
      </c>
      <c r="Z70" s="1">
        <f t="shared" si="1"/>
        <v>27</v>
      </c>
    </row>
    <row r="71" spans="1:26" ht="16" customHeight="1" x14ac:dyDescent="0.2">
      <c r="A71" t="s">
        <v>8</v>
      </c>
      <c r="B71" s="13">
        <v>45278</v>
      </c>
      <c r="C71" s="13">
        <v>45353</v>
      </c>
      <c r="D71">
        <v>3766</v>
      </c>
      <c r="E71" t="s">
        <v>150</v>
      </c>
      <c r="F71" t="s">
        <v>10</v>
      </c>
      <c r="G71" t="s">
        <v>151</v>
      </c>
      <c r="H71">
        <v>6</v>
      </c>
      <c r="I71">
        <v>2</v>
      </c>
      <c r="J71" t="s">
        <v>228</v>
      </c>
      <c r="K71" t="s">
        <v>12</v>
      </c>
      <c r="L71">
        <v>2</v>
      </c>
      <c r="M71">
        <v>1</v>
      </c>
      <c r="N71">
        <v>2</v>
      </c>
      <c r="O71">
        <v>1</v>
      </c>
      <c r="P71">
        <v>2</v>
      </c>
      <c r="Q71">
        <v>2</v>
      </c>
      <c r="R71">
        <v>0</v>
      </c>
      <c r="S71">
        <v>1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 s="1">
        <f>SUM(L71:Y71)</f>
        <v>23</v>
      </c>
    </row>
    <row r="72" spans="1:26" ht="17" customHeight="1" x14ac:dyDescent="0.2">
      <c r="A72" t="s">
        <v>21</v>
      </c>
      <c r="B72" s="13">
        <v>43266</v>
      </c>
      <c r="C72" s="13">
        <v>43266</v>
      </c>
      <c r="D72">
        <v>1966898</v>
      </c>
      <c r="E72" t="s">
        <v>152</v>
      </c>
      <c r="F72" t="s">
        <v>15</v>
      </c>
      <c r="G72" t="s">
        <v>23</v>
      </c>
      <c r="H72">
        <v>1489043</v>
      </c>
      <c r="I72">
        <v>3</v>
      </c>
      <c r="J72" t="s">
        <v>228</v>
      </c>
      <c r="K72" t="s">
        <v>210</v>
      </c>
      <c r="L72">
        <v>2</v>
      </c>
      <c r="M72">
        <v>2</v>
      </c>
      <c r="N72">
        <v>2</v>
      </c>
      <c r="O72">
        <v>1</v>
      </c>
      <c r="P72">
        <v>2</v>
      </c>
      <c r="Q72">
        <v>2</v>
      </c>
      <c r="R72">
        <v>0</v>
      </c>
      <c r="S72">
        <v>0</v>
      </c>
      <c r="T72">
        <v>0</v>
      </c>
      <c r="U72">
        <v>2</v>
      </c>
      <c r="V72">
        <v>2</v>
      </c>
      <c r="W72">
        <v>2</v>
      </c>
      <c r="X72">
        <v>2</v>
      </c>
      <c r="Y72">
        <v>2</v>
      </c>
      <c r="Z72" s="1">
        <f t="shared" ref="Z72:Z108" si="2">SUM(L72:Y72)</f>
        <v>21</v>
      </c>
    </row>
    <row r="73" spans="1:26" ht="18" customHeight="1" x14ac:dyDescent="0.2">
      <c r="A73" t="s">
        <v>87</v>
      </c>
      <c r="B73" s="13">
        <v>44679</v>
      </c>
      <c r="C73" s="13">
        <v>44679</v>
      </c>
      <c r="D73">
        <v>63340</v>
      </c>
      <c r="E73" t="s">
        <v>153</v>
      </c>
      <c r="F73" t="s">
        <v>10</v>
      </c>
      <c r="G73" t="s">
        <v>154</v>
      </c>
      <c r="H73">
        <v>63340</v>
      </c>
      <c r="I73">
        <v>3</v>
      </c>
      <c r="J73">
        <v>3</v>
      </c>
      <c r="K73" t="s">
        <v>17</v>
      </c>
      <c r="L73">
        <v>2</v>
      </c>
      <c r="M73" s="7">
        <v>2</v>
      </c>
      <c r="N73" s="7">
        <v>2</v>
      </c>
      <c r="O73">
        <v>0</v>
      </c>
      <c r="P73" s="7">
        <v>2</v>
      </c>
      <c r="Q73" s="7">
        <v>2</v>
      </c>
      <c r="R73">
        <v>2</v>
      </c>
      <c r="S73">
        <v>0</v>
      </c>
      <c r="T73">
        <v>0</v>
      </c>
      <c r="U73" s="7">
        <v>2</v>
      </c>
      <c r="V73">
        <v>2</v>
      </c>
      <c r="W73">
        <v>2</v>
      </c>
      <c r="X73">
        <v>2</v>
      </c>
      <c r="Y73">
        <v>2</v>
      </c>
      <c r="Z73" s="1">
        <f t="shared" si="2"/>
        <v>22</v>
      </c>
    </row>
    <row r="74" spans="1:26" ht="13" customHeight="1" x14ac:dyDescent="0.2">
      <c r="A74" t="s">
        <v>87</v>
      </c>
      <c r="B74" s="13">
        <v>44585</v>
      </c>
      <c r="C74" s="13">
        <v>44589</v>
      </c>
      <c r="D74">
        <v>28883</v>
      </c>
      <c r="E74" t="s">
        <v>155</v>
      </c>
      <c r="F74" t="s">
        <v>10</v>
      </c>
      <c r="G74" t="s">
        <v>23</v>
      </c>
      <c r="H74">
        <v>95</v>
      </c>
      <c r="I74">
        <v>2.5</v>
      </c>
      <c r="J74" t="s">
        <v>228</v>
      </c>
      <c r="K74" t="s">
        <v>12</v>
      </c>
      <c r="L74">
        <v>0</v>
      </c>
      <c r="M74">
        <v>0</v>
      </c>
      <c r="N74">
        <v>1</v>
      </c>
      <c r="O74">
        <v>0</v>
      </c>
      <c r="P74">
        <v>2</v>
      </c>
      <c r="Q74">
        <v>0</v>
      </c>
      <c r="R74">
        <v>0</v>
      </c>
      <c r="S74">
        <v>0</v>
      </c>
      <c r="T74">
        <v>0</v>
      </c>
      <c r="U74">
        <v>1</v>
      </c>
      <c r="V74">
        <v>2</v>
      </c>
      <c r="W74">
        <v>2</v>
      </c>
      <c r="X74">
        <v>0</v>
      </c>
      <c r="Y74">
        <v>2</v>
      </c>
      <c r="Z74" s="1">
        <f t="shared" si="2"/>
        <v>10</v>
      </c>
    </row>
    <row r="75" spans="1:26" ht="17" customHeight="1" x14ac:dyDescent="0.2">
      <c r="A75" t="s">
        <v>69</v>
      </c>
      <c r="B75" s="13">
        <v>43762</v>
      </c>
      <c r="C75" s="13">
        <v>43777</v>
      </c>
      <c r="D75">
        <v>477432</v>
      </c>
      <c r="E75" t="s">
        <v>156</v>
      </c>
      <c r="F75" t="s">
        <v>15</v>
      </c>
      <c r="G75" t="s">
        <v>157</v>
      </c>
      <c r="H75">
        <v>348240</v>
      </c>
      <c r="I75">
        <v>3</v>
      </c>
      <c r="J75">
        <v>3</v>
      </c>
      <c r="K75" t="s">
        <v>17</v>
      </c>
      <c r="L75">
        <v>2</v>
      </c>
      <c r="M75" s="7">
        <v>2</v>
      </c>
      <c r="N75" s="7">
        <v>2</v>
      </c>
      <c r="O75">
        <v>2</v>
      </c>
      <c r="P75" s="7">
        <v>2</v>
      </c>
      <c r="Q75" s="7">
        <v>2</v>
      </c>
      <c r="R75">
        <v>2</v>
      </c>
      <c r="S75">
        <v>2</v>
      </c>
      <c r="T75">
        <v>2</v>
      </c>
      <c r="U75" s="7">
        <v>2</v>
      </c>
      <c r="V75">
        <v>2</v>
      </c>
      <c r="W75">
        <v>2</v>
      </c>
      <c r="X75">
        <v>2</v>
      </c>
      <c r="Y75">
        <v>2</v>
      </c>
      <c r="Z75" s="1">
        <f t="shared" si="2"/>
        <v>28</v>
      </c>
    </row>
    <row r="76" spans="1:26" ht="21" customHeight="1" x14ac:dyDescent="0.2">
      <c r="A76" t="s">
        <v>87</v>
      </c>
      <c r="B76" s="13">
        <v>44917</v>
      </c>
      <c r="C76" s="13">
        <v>45114</v>
      </c>
      <c r="D76">
        <v>111338</v>
      </c>
      <c r="E76" t="s">
        <v>158</v>
      </c>
      <c r="F76" t="s">
        <v>10</v>
      </c>
      <c r="G76" t="s">
        <v>159</v>
      </c>
      <c r="H76">
        <v>94925</v>
      </c>
      <c r="I76">
        <v>2.5</v>
      </c>
      <c r="J76">
        <v>3</v>
      </c>
      <c r="K76" t="s">
        <v>17</v>
      </c>
      <c r="L76">
        <v>1</v>
      </c>
      <c r="M76" s="7">
        <v>2</v>
      </c>
      <c r="N76" s="7">
        <v>2</v>
      </c>
      <c r="O76">
        <v>0</v>
      </c>
      <c r="P76" s="7">
        <v>2</v>
      </c>
      <c r="Q76" s="7">
        <v>2</v>
      </c>
      <c r="R76">
        <v>1</v>
      </c>
      <c r="S76">
        <v>2</v>
      </c>
      <c r="T76">
        <v>2</v>
      </c>
      <c r="U76" s="7">
        <v>2</v>
      </c>
      <c r="V76">
        <v>2</v>
      </c>
      <c r="W76">
        <v>2</v>
      </c>
      <c r="X76">
        <v>2</v>
      </c>
      <c r="Y76">
        <v>2</v>
      </c>
      <c r="Z76" s="1">
        <f t="shared" si="2"/>
        <v>24</v>
      </c>
    </row>
    <row r="77" spans="1:26" ht="16" customHeight="1" x14ac:dyDescent="0.2">
      <c r="A77" t="s">
        <v>49</v>
      </c>
      <c r="B77" s="13">
        <v>44462</v>
      </c>
      <c r="C77" s="13">
        <v>44694</v>
      </c>
      <c r="D77">
        <v>22104</v>
      </c>
      <c r="E77" t="s">
        <v>160</v>
      </c>
      <c r="F77" t="s">
        <v>10</v>
      </c>
      <c r="G77" t="s">
        <v>42</v>
      </c>
      <c r="H77">
        <v>21154</v>
      </c>
      <c r="I77">
        <v>2</v>
      </c>
      <c r="J77">
        <v>5</v>
      </c>
      <c r="K77" t="s">
        <v>17</v>
      </c>
      <c r="L77">
        <v>1</v>
      </c>
      <c r="M77" s="7">
        <v>2</v>
      </c>
      <c r="N77" s="7">
        <v>2</v>
      </c>
      <c r="O77">
        <v>1</v>
      </c>
      <c r="P77" s="7">
        <v>2</v>
      </c>
      <c r="Q77" s="7">
        <v>2</v>
      </c>
      <c r="R77">
        <v>0</v>
      </c>
      <c r="S77">
        <v>1</v>
      </c>
      <c r="T77" s="6">
        <v>2</v>
      </c>
      <c r="U77" s="7">
        <v>2</v>
      </c>
      <c r="V77">
        <v>2</v>
      </c>
      <c r="W77">
        <v>2</v>
      </c>
      <c r="X77">
        <v>2</v>
      </c>
      <c r="Y77">
        <v>2</v>
      </c>
      <c r="Z77" s="1">
        <f t="shared" si="2"/>
        <v>23</v>
      </c>
    </row>
    <row r="78" spans="1:26" ht="17" customHeight="1" x14ac:dyDescent="0.2">
      <c r="A78" t="s">
        <v>69</v>
      </c>
      <c r="B78" s="13">
        <v>43787</v>
      </c>
      <c r="C78" s="13">
        <v>43819</v>
      </c>
      <c r="D78">
        <v>567286</v>
      </c>
      <c r="E78" t="s">
        <v>161</v>
      </c>
      <c r="F78" t="s">
        <v>15</v>
      </c>
      <c r="G78" t="s">
        <v>23</v>
      </c>
      <c r="H78">
        <v>474706</v>
      </c>
      <c r="I78">
        <v>3</v>
      </c>
      <c r="J78">
        <v>4</v>
      </c>
      <c r="K78" t="s">
        <v>17</v>
      </c>
      <c r="L78">
        <v>2</v>
      </c>
      <c r="M78" s="7">
        <v>2</v>
      </c>
      <c r="N78" s="7">
        <v>2</v>
      </c>
      <c r="O78">
        <v>2</v>
      </c>
      <c r="P78" s="7">
        <v>2</v>
      </c>
      <c r="Q78" s="7">
        <v>2</v>
      </c>
      <c r="R78">
        <v>2</v>
      </c>
      <c r="S78">
        <v>2</v>
      </c>
      <c r="T78">
        <v>2</v>
      </c>
      <c r="U78" s="7">
        <v>2</v>
      </c>
      <c r="V78">
        <v>2</v>
      </c>
      <c r="W78">
        <v>2</v>
      </c>
      <c r="X78">
        <v>2</v>
      </c>
      <c r="Y78">
        <v>2</v>
      </c>
      <c r="Z78" s="1">
        <f t="shared" si="2"/>
        <v>28</v>
      </c>
    </row>
    <row r="79" spans="1:26" ht="22" customHeight="1" x14ac:dyDescent="0.2">
      <c r="A79" t="s">
        <v>34</v>
      </c>
      <c r="B79" s="13">
        <v>41697</v>
      </c>
      <c r="C79" s="13">
        <v>41697</v>
      </c>
      <c r="D79">
        <v>25819</v>
      </c>
      <c r="E79" t="s">
        <v>162</v>
      </c>
      <c r="F79" t="s">
        <v>10</v>
      </c>
      <c r="G79" t="s">
        <v>42</v>
      </c>
      <c r="H79">
        <v>25819</v>
      </c>
      <c r="I79">
        <v>2</v>
      </c>
      <c r="J79">
        <v>5</v>
      </c>
      <c r="K79" t="s">
        <v>17</v>
      </c>
      <c r="L79">
        <v>1</v>
      </c>
      <c r="M79" s="7">
        <v>2</v>
      </c>
      <c r="N79" s="7">
        <v>2</v>
      </c>
      <c r="O79">
        <v>2</v>
      </c>
      <c r="P79">
        <v>0</v>
      </c>
      <c r="Q79" s="7">
        <v>1</v>
      </c>
      <c r="R79">
        <v>0</v>
      </c>
      <c r="S79">
        <v>1</v>
      </c>
      <c r="T79">
        <v>2</v>
      </c>
      <c r="U79" s="7">
        <v>2</v>
      </c>
      <c r="V79">
        <v>2</v>
      </c>
      <c r="W79">
        <v>2</v>
      </c>
      <c r="X79">
        <v>2</v>
      </c>
      <c r="Y79">
        <v>2</v>
      </c>
      <c r="Z79" s="1">
        <f t="shared" si="2"/>
        <v>21</v>
      </c>
    </row>
    <row r="80" spans="1:26" ht="14" customHeight="1" x14ac:dyDescent="0.2">
      <c r="A80" t="s">
        <v>13</v>
      </c>
      <c r="B80" s="13">
        <v>42033</v>
      </c>
      <c r="C80" s="13">
        <v>42033</v>
      </c>
      <c r="D80">
        <v>267008</v>
      </c>
      <c r="E80" t="s">
        <v>163</v>
      </c>
      <c r="F80" t="s">
        <v>10</v>
      </c>
      <c r="G80" t="s">
        <v>54</v>
      </c>
      <c r="H80">
        <v>261214</v>
      </c>
      <c r="I80">
        <v>2</v>
      </c>
      <c r="J80" t="s">
        <v>228</v>
      </c>
      <c r="K80" t="s">
        <v>12</v>
      </c>
      <c r="L80">
        <v>0</v>
      </c>
      <c r="M80">
        <v>0</v>
      </c>
      <c r="N80">
        <v>2</v>
      </c>
      <c r="O80">
        <v>1</v>
      </c>
      <c r="P80">
        <v>1</v>
      </c>
      <c r="Q80">
        <v>0</v>
      </c>
      <c r="R80">
        <v>0</v>
      </c>
      <c r="S80">
        <v>2</v>
      </c>
      <c r="T80">
        <v>0</v>
      </c>
      <c r="U80">
        <v>2</v>
      </c>
      <c r="V80">
        <v>2</v>
      </c>
      <c r="W80">
        <v>2</v>
      </c>
      <c r="X80">
        <v>0</v>
      </c>
      <c r="Y80">
        <v>2</v>
      </c>
      <c r="Z80" s="1">
        <f t="shared" si="2"/>
        <v>14</v>
      </c>
    </row>
    <row r="81" spans="1:26" ht="19" customHeight="1" x14ac:dyDescent="0.2">
      <c r="A81" t="s">
        <v>87</v>
      </c>
      <c r="B81" s="13">
        <v>44105</v>
      </c>
      <c r="C81" s="13">
        <v>44105</v>
      </c>
      <c r="D81">
        <v>83348</v>
      </c>
      <c r="E81" t="s">
        <v>164</v>
      </c>
      <c r="F81" t="s">
        <v>10</v>
      </c>
      <c r="G81" t="s">
        <v>165</v>
      </c>
      <c r="H81">
        <v>83348</v>
      </c>
      <c r="I81">
        <v>2.5</v>
      </c>
      <c r="J81">
        <v>3</v>
      </c>
      <c r="K81" t="s">
        <v>17</v>
      </c>
      <c r="L81">
        <v>1</v>
      </c>
      <c r="M81" s="7">
        <v>2</v>
      </c>
      <c r="N81" s="7">
        <v>2</v>
      </c>
      <c r="O81">
        <v>0</v>
      </c>
      <c r="P81" s="7">
        <v>2</v>
      </c>
      <c r="Q81" s="7">
        <v>2</v>
      </c>
      <c r="R81">
        <v>1</v>
      </c>
      <c r="S81">
        <v>0</v>
      </c>
      <c r="T81">
        <v>0</v>
      </c>
      <c r="U81" s="7">
        <v>2</v>
      </c>
      <c r="V81">
        <v>2</v>
      </c>
      <c r="W81">
        <v>2</v>
      </c>
      <c r="X81">
        <v>2</v>
      </c>
      <c r="Y81">
        <v>2</v>
      </c>
      <c r="Z81" s="1">
        <f t="shared" si="2"/>
        <v>20</v>
      </c>
    </row>
    <row r="82" spans="1:26" ht="22" customHeight="1" x14ac:dyDescent="0.2">
      <c r="A82" t="s">
        <v>69</v>
      </c>
      <c r="B82" s="13">
        <v>44468</v>
      </c>
      <c r="C82" s="13">
        <v>44468</v>
      </c>
      <c r="D82">
        <v>12891</v>
      </c>
      <c r="E82" t="s">
        <v>166</v>
      </c>
      <c r="F82" t="s">
        <v>10</v>
      </c>
      <c r="G82" t="s">
        <v>23</v>
      </c>
      <c r="H82">
        <v>10894</v>
      </c>
      <c r="I82">
        <v>3</v>
      </c>
      <c r="J82">
        <v>3</v>
      </c>
      <c r="K82" t="s">
        <v>17</v>
      </c>
      <c r="L82">
        <v>1</v>
      </c>
      <c r="M82" s="7">
        <v>2</v>
      </c>
      <c r="N82" s="7">
        <v>2</v>
      </c>
      <c r="O82">
        <v>1</v>
      </c>
      <c r="P82" s="7">
        <v>2</v>
      </c>
      <c r="Q82" s="7">
        <v>2</v>
      </c>
      <c r="R82">
        <v>1</v>
      </c>
      <c r="S82">
        <v>1</v>
      </c>
      <c r="T82">
        <v>0</v>
      </c>
      <c r="U82" s="7">
        <v>2</v>
      </c>
      <c r="V82">
        <v>2</v>
      </c>
      <c r="W82">
        <v>2</v>
      </c>
      <c r="X82">
        <v>2</v>
      </c>
      <c r="Y82">
        <v>2</v>
      </c>
      <c r="Z82" s="1">
        <f>SUM(L82:Y82)</f>
        <v>22</v>
      </c>
    </row>
    <row r="83" spans="1:26" ht="19" customHeight="1" x14ac:dyDescent="0.2">
      <c r="A83" t="s">
        <v>21</v>
      </c>
      <c r="B83" s="13">
        <v>43816</v>
      </c>
      <c r="C83" s="13">
        <v>43816</v>
      </c>
      <c r="D83">
        <v>4573</v>
      </c>
      <c r="E83" t="s">
        <v>167</v>
      </c>
      <c r="F83" t="s">
        <v>10</v>
      </c>
      <c r="G83" t="s">
        <v>23</v>
      </c>
      <c r="H83">
        <v>1727</v>
      </c>
      <c r="I83">
        <v>3</v>
      </c>
      <c r="J83">
        <v>3</v>
      </c>
      <c r="K83" t="s">
        <v>17</v>
      </c>
      <c r="L83">
        <v>0</v>
      </c>
      <c r="M83" s="7">
        <v>2</v>
      </c>
      <c r="N83" s="7">
        <v>2</v>
      </c>
      <c r="O83">
        <v>2</v>
      </c>
      <c r="P83" s="7">
        <v>2</v>
      </c>
      <c r="Q83" s="7">
        <v>1</v>
      </c>
      <c r="R83">
        <v>0</v>
      </c>
      <c r="S83">
        <v>0</v>
      </c>
      <c r="T83">
        <v>2</v>
      </c>
      <c r="U83" s="7">
        <v>2</v>
      </c>
      <c r="V83">
        <v>2</v>
      </c>
      <c r="W83">
        <v>2</v>
      </c>
      <c r="X83">
        <v>2</v>
      </c>
      <c r="Y83">
        <v>2</v>
      </c>
      <c r="Z83" s="1">
        <f t="shared" si="2"/>
        <v>21</v>
      </c>
    </row>
    <row r="84" spans="1:26" ht="23" customHeight="1" x14ac:dyDescent="0.2">
      <c r="A84" t="s">
        <v>61</v>
      </c>
      <c r="B84" s="13">
        <v>44636</v>
      </c>
      <c r="C84" s="13">
        <v>44672</v>
      </c>
      <c r="D84">
        <v>399740</v>
      </c>
      <c r="E84" t="s">
        <v>168</v>
      </c>
      <c r="F84" t="s">
        <v>10</v>
      </c>
      <c r="G84" t="s">
        <v>82</v>
      </c>
      <c r="H84">
        <v>350488</v>
      </c>
      <c r="I84">
        <v>3</v>
      </c>
      <c r="J84" t="s">
        <v>228</v>
      </c>
      <c r="K84" t="s">
        <v>12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1</v>
      </c>
      <c r="S84">
        <v>2</v>
      </c>
      <c r="T84">
        <v>2</v>
      </c>
      <c r="U84">
        <v>2</v>
      </c>
      <c r="V84">
        <v>2</v>
      </c>
      <c r="W84">
        <v>2</v>
      </c>
      <c r="X84">
        <v>0</v>
      </c>
      <c r="Y84">
        <v>2</v>
      </c>
      <c r="Z84" s="1">
        <f t="shared" si="2"/>
        <v>25</v>
      </c>
    </row>
    <row r="85" spans="1:26" x14ac:dyDescent="0.2">
      <c r="A85" t="s">
        <v>87</v>
      </c>
      <c r="B85" s="13">
        <v>44767</v>
      </c>
      <c r="C85" s="13">
        <v>45604</v>
      </c>
      <c r="D85">
        <v>157059</v>
      </c>
      <c r="E85" t="s">
        <v>169</v>
      </c>
      <c r="F85" t="s">
        <v>10</v>
      </c>
      <c r="G85" t="s">
        <v>170</v>
      </c>
      <c r="H85">
        <v>7221</v>
      </c>
      <c r="I85">
        <v>3</v>
      </c>
      <c r="J85">
        <v>2</v>
      </c>
      <c r="K85" t="s">
        <v>17</v>
      </c>
      <c r="L85">
        <v>1</v>
      </c>
      <c r="M85" s="7">
        <v>2</v>
      </c>
      <c r="N85" s="7">
        <v>2</v>
      </c>
      <c r="O85">
        <v>0</v>
      </c>
      <c r="P85" s="7">
        <v>2</v>
      </c>
      <c r="Q85" s="7">
        <v>2</v>
      </c>
      <c r="R85">
        <v>1</v>
      </c>
      <c r="S85">
        <v>1</v>
      </c>
      <c r="T85">
        <v>0</v>
      </c>
      <c r="U85" s="7">
        <v>2</v>
      </c>
      <c r="V85">
        <v>2</v>
      </c>
      <c r="W85">
        <v>2</v>
      </c>
      <c r="X85">
        <v>2</v>
      </c>
      <c r="Y85">
        <v>2</v>
      </c>
      <c r="Z85" s="1">
        <f t="shared" si="2"/>
        <v>21</v>
      </c>
    </row>
    <row r="86" spans="1:26" ht="16" customHeight="1" x14ac:dyDescent="0.2">
      <c r="A86" t="s">
        <v>69</v>
      </c>
      <c r="B86" s="13">
        <v>45237</v>
      </c>
      <c r="D86">
        <v>40623</v>
      </c>
      <c r="E86" t="s">
        <v>171</v>
      </c>
      <c r="F86" t="s">
        <v>10</v>
      </c>
      <c r="G86" t="s">
        <v>54</v>
      </c>
      <c r="H86">
        <v>0</v>
      </c>
      <c r="I86">
        <v>2</v>
      </c>
      <c r="J86" t="s">
        <v>228</v>
      </c>
      <c r="K86" t="s">
        <v>12</v>
      </c>
      <c r="L86">
        <v>0</v>
      </c>
      <c r="M86">
        <v>2</v>
      </c>
      <c r="N86">
        <v>2</v>
      </c>
      <c r="O86">
        <v>2</v>
      </c>
      <c r="P86">
        <v>0</v>
      </c>
      <c r="Q86">
        <v>1</v>
      </c>
      <c r="R86">
        <v>0</v>
      </c>
      <c r="S86">
        <v>0</v>
      </c>
      <c r="T86">
        <v>0</v>
      </c>
      <c r="U86">
        <v>2</v>
      </c>
      <c r="V86">
        <v>2</v>
      </c>
      <c r="W86">
        <v>2</v>
      </c>
      <c r="X86">
        <v>2</v>
      </c>
      <c r="Y86">
        <v>2</v>
      </c>
      <c r="Z86" s="1">
        <f t="shared" si="2"/>
        <v>17</v>
      </c>
    </row>
    <row r="87" spans="1:26" ht="15" customHeight="1" x14ac:dyDescent="0.2">
      <c r="A87" t="s">
        <v>21</v>
      </c>
      <c r="B87" s="13">
        <v>43805</v>
      </c>
      <c r="C87" s="13">
        <v>43808</v>
      </c>
      <c r="D87">
        <v>900752</v>
      </c>
      <c r="E87" t="s">
        <v>172</v>
      </c>
      <c r="F87" t="s">
        <v>15</v>
      </c>
      <c r="G87" t="s">
        <v>23</v>
      </c>
      <c r="H87">
        <v>887156</v>
      </c>
      <c r="I87">
        <v>3</v>
      </c>
      <c r="J87">
        <v>2</v>
      </c>
      <c r="K87" t="s">
        <v>17</v>
      </c>
      <c r="L87">
        <v>2</v>
      </c>
      <c r="M87">
        <v>2</v>
      </c>
      <c r="N87">
        <v>2</v>
      </c>
      <c r="O87">
        <v>1</v>
      </c>
      <c r="P87">
        <v>2</v>
      </c>
      <c r="Q87">
        <v>2</v>
      </c>
      <c r="R87">
        <v>2</v>
      </c>
      <c r="S87">
        <v>1</v>
      </c>
      <c r="T87">
        <v>0</v>
      </c>
      <c r="U87">
        <v>2</v>
      </c>
      <c r="V87">
        <v>2</v>
      </c>
      <c r="W87">
        <v>2</v>
      </c>
      <c r="X87">
        <v>2</v>
      </c>
      <c r="Y87">
        <v>2</v>
      </c>
      <c r="Z87" s="1">
        <f t="shared" si="2"/>
        <v>24</v>
      </c>
    </row>
    <row r="88" spans="1:26" ht="14" customHeight="1" x14ac:dyDescent="0.2">
      <c r="A88" t="s">
        <v>69</v>
      </c>
      <c r="B88" s="13">
        <v>40771</v>
      </c>
      <c r="C88" s="13">
        <v>40781</v>
      </c>
      <c r="D88">
        <v>395472</v>
      </c>
      <c r="E88" t="s">
        <v>173</v>
      </c>
      <c r="F88" t="s">
        <v>10</v>
      </c>
      <c r="G88" t="s">
        <v>174</v>
      </c>
      <c r="H88">
        <v>375326</v>
      </c>
      <c r="I88">
        <v>2</v>
      </c>
      <c r="J88">
        <v>2</v>
      </c>
      <c r="K88" t="s">
        <v>17</v>
      </c>
      <c r="L88">
        <v>1</v>
      </c>
      <c r="M88" s="7">
        <v>2</v>
      </c>
      <c r="N88" s="7">
        <v>2</v>
      </c>
      <c r="O88">
        <v>1</v>
      </c>
      <c r="P88">
        <v>0</v>
      </c>
      <c r="Q88">
        <v>2</v>
      </c>
      <c r="R88">
        <v>2</v>
      </c>
      <c r="S88">
        <v>2</v>
      </c>
      <c r="T88">
        <v>2</v>
      </c>
      <c r="U88" s="7">
        <v>2</v>
      </c>
      <c r="V88">
        <v>2</v>
      </c>
      <c r="W88">
        <v>2</v>
      </c>
      <c r="X88">
        <v>2</v>
      </c>
      <c r="Y88">
        <v>2</v>
      </c>
      <c r="Z88" s="1">
        <f t="shared" si="2"/>
        <v>24</v>
      </c>
    </row>
    <row r="89" spans="1:26" ht="14" customHeight="1" x14ac:dyDescent="0.2">
      <c r="A89" t="s">
        <v>69</v>
      </c>
      <c r="B89" s="13">
        <v>45139</v>
      </c>
      <c r="C89" s="13">
        <v>45139</v>
      </c>
      <c r="D89">
        <v>5276</v>
      </c>
      <c r="E89" t="s">
        <v>175</v>
      </c>
      <c r="F89" t="s">
        <v>15</v>
      </c>
      <c r="G89" t="s">
        <v>176</v>
      </c>
      <c r="H89">
        <v>262</v>
      </c>
      <c r="I89">
        <v>2</v>
      </c>
      <c r="J89">
        <v>5</v>
      </c>
      <c r="K89" t="s">
        <v>17</v>
      </c>
      <c r="L89">
        <v>2</v>
      </c>
      <c r="M89" s="7">
        <v>2</v>
      </c>
      <c r="N89" s="7">
        <v>2</v>
      </c>
      <c r="O89">
        <v>2</v>
      </c>
      <c r="P89" s="7">
        <v>2</v>
      </c>
      <c r="Q89" s="7">
        <v>2</v>
      </c>
      <c r="R89">
        <v>2</v>
      </c>
      <c r="S89">
        <v>2</v>
      </c>
      <c r="T89">
        <v>0</v>
      </c>
      <c r="U89" s="7">
        <v>2</v>
      </c>
      <c r="V89">
        <v>2</v>
      </c>
      <c r="W89">
        <v>2</v>
      </c>
      <c r="X89">
        <v>2</v>
      </c>
      <c r="Y89">
        <v>2</v>
      </c>
      <c r="Z89" s="1">
        <f t="shared" si="2"/>
        <v>26</v>
      </c>
    </row>
    <row r="90" spans="1:26" ht="16" customHeight="1" x14ac:dyDescent="0.2">
      <c r="A90" t="s">
        <v>69</v>
      </c>
      <c r="B90" s="13">
        <v>43762</v>
      </c>
      <c r="C90" s="13">
        <v>43769</v>
      </c>
      <c r="D90">
        <v>1620202</v>
      </c>
      <c r="E90" t="s">
        <v>177</v>
      </c>
      <c r="F90" t="s">
        <v>15</v>
      </c>
      <c r="G90" t="s">
        <v>23</v>
      </c>
      <c r="H90">
        <v>1363722</v>
      </c>
      <c r="I90">
        <v>3</v>
      </c>
      <c r="J90">
        <v>4</v>
      </c>
      <c r="K90" t="s">
        <v>17</v>
      </c>
      <c r="L90">
        <v>2</v>
      </c>
      <c r="M90" s="7">
        <v>2</v>
      </c>
      <c r="N90" s="7">
        <v>2</v>
      </c>
      <c r="O90">
        <v>2</v>
      </c>
      <c r="P90" s="7">
        <v>2</v>
      </c>
      <c r="Q90" s="7">
        <v>2</v>
      </c>
      <c r="R90">
        <v>2</v>
      </c>
      <c r="S90">
        <v>2</v>
      </c>
      <c r="T90">
        <v>2</v>
      </c>
      <c r="U90" s="7">
        <v>2</v>
      </c>
      <c r="V90">
        <v>2</v>
      </c>
      <c r="W90">
        <v>2</v>
      </c>
      <c r="X90">
        <v>2</v>
      </c>
      <c r="Y90">
        <v>2</v>
      </c>
      <c r="Z90" s="1">
        <f t="shared" si="2"/>
        <v>28</v>
      </c>
    </row>
    <row r="91" spans="1:26" ht="13" customHeight="1" x14ac:dyDescent="0.2">
      <c r="A91" t="s">
        <v>34</v>
      </c>
      <c r="B91" s="13">
        <v>44439</v>
      </c>
      <c r="C91" s="13">
        <v>44508</v>
      </c>
      <c r="D91">
        <v>155813</v>
      </c>
      <c r="E91" t="s">
        <v>178</v>
      </c>
      <c r="F91" t="s">
        <v>10</v>
      </c>
      <c r="G91" t="s">
        <v>42</v>
      </c>
      <c r="H91">
        <v>124641</v>
      </c>
      <c r="I91">
        <v>2</v>
      </c>
      <c r="J91">
        <v>4</v>
      </c>
      <c r="K91" t="s">
        <v>17</v>
      </c>
      <c r="L91" s="5">
        <v>1</v>
      </c>
      <c r="M91" s="5">
        <v>2</v>
      </c>
      <c r="N91" s="7">
        <v>2</v>
      </c>
      <c r="O91" s="5">
        <v>1</v>
      </c>
      <c r="P91" s="5">
        <v>2</v>
      </c>
      <c r="Q91" s="5">
        <v>2</v>
      </c>
      <c r="R91">
        <v>2</v>
      </c>
      <c r="S91">
        <v>0</v>
      </c>
      <c r="T91" s="5">
        <v>2</v>
      </c>
      <c r="U91" s="7">
        <v>2</v>
      </c>
      <c r="V91">
        <v>2</v>
      </c>
      <c r="W91">
        <v>2</v>
      </c>
      <c r="X91">
        <v>2</v>
      </c>
      <c r="Y91">
        <v>2</v>
      </c>
      <c r="Z91" s="1">
        <f t="shared" si="2"/>
        <v>24</v>
      </c>
    </row>
    <row r="92" spans="1:26" ht="21" customHeight="1" x14ac:dyDescent="0.2">
      <c r="A92" t="s">
        <v>21</v>
      </c>
      <c r="B92" s="13">
        <v>44823</v>
      </c>
      <c r="D92">
        <v>16772</v>
      </c>
      <c r="E92" t="s">
        <v>179</v>
      </c>
      <c r="F92" t="s">
        <v>15</v>
      </c>
      <c r="G92" t="s">
        <v>180</v>
      </c>
      <c r="H92">
        <v>0</v>
      </c>
      <c r="I92">
        <v>2</v>
      </c>
      <c r="J92" t="s">
        <v>228</v>
      </c>
      <c r="K92" t="s">
        <v>24</v>
      </c>
      <c r="L92">
        <v>2</v>
      </c>
      <c r="M92">
        <v>2</v>
      </c>
      <c r="N92">
        <v>2</v>
      </c>
      <c r="O92">
        <v>1</v>
      </c>
      <c r="P92">
        <v>0</v>
      </c>
      <c r="Q92">
        <v>2</v>
      </c>
      <c r="R92">
        <v>2</v>
      </c>
      <c r="S92">
        <v>2</v>
      </c>
      <c r="T92">
        <v>2</v>
      </c>
      <c r="U92">
        <v>2</v>
      </c>
      <c r="V92">
        <v>2</v>
      </c>
      <c r="W92">
        <v>2</v>
      </c>
      <c r="X92">
        <v>2</v>
      </c>
      <c r="Y92">
        <v>2</v>
      </c>
      <c r="Z92" s="1">
        <f t="shared" si="2"/>
        <v>25</v>
      </c>
    </row>
    <row r="93" spans="1:26" ht="20.25" customHeight="1" x14ac:dyDescent="0.2">
      <c r="A93" t="s">
        <v>181</v>
      </c>
      <c r="B93" s="13">
        <v>41838</v>
      </c>
      <c r="C93" s="13">
        <v>41990</v>
      </c>
      <c r="D93">
        <v>2229034</v>
      </c>
      <c r="E93" t="s">
        <v>182</v>
      </c>
      <c r="F93" t="s">
        <v>15</v>
      </c>
      <c r="G93" t="s">
        <v>183</v>
      </c>
      <c r="H93">
        <v>1821567</v>
      </c>
      <c r="I93">
        <v>3</v>
      </c>
      <c r="J93">
        <v>5</v>
      </c>
      <c r="K93" t="s">
        <v>17</v>
      </c>
      <c r="L93">
        <v>1</v>
      </c>
      <c r="M93">
        <v>2</v>
      </c>
      <c r="N93" s="7">
        <v>2</v>
      </c>
      <c r="O93">
        <v>2</v>
      </c>
      <c r="P93">
        <v>1</v>
      </c>
      <c r="Q93">
        <v>2</v>
      </c>
      <c r="R93">
        <v>0</v>
      </c>
      <c r="S93">
        <v>0</v>
      </c>
      <c r="T93">
        <v>0</v>
      </c>
      <c r="U93" s="7">
        <v>2</v>
      </c>
      <c r="V93">
        <v>2</v>
      </c>
      <c r="W93">
        <v>2</v>
      </c>
      <c r="X93">
        <v>2</v>
      </c>
      <c r="Y93">
        <v>2</v>
      </c>
      <c r="Z93" s="1">
        <f>SUM(M93:Y93)</f>
        <v>19</v>
      </c>
    </row>
    <row r="94" spans="1:26" ht="17" customHeight="1" x14ac:dyDescent="0.2">
      <c r="A94" t="s">
        <v>184</v>
      </c>
      <c r="B94" s="13">
        <v>44298</v>
      </c>
      <c r="C94" s="13">
        <v>44298</v>
      </c>
      <c r="D94">
        <v>5367</v>
      </c>
      <c r="E94" t="s">
        <v>185</v>
      </c>
      <c r="F94" t="s">
        <v>10</v>
      </c>
      <c r="G94" t="s">
        <v>186</v>
      </c>
      <c r="H94">
        <v>5367</v>
      </c>
      <c r="I94">
        <v>2</v>
      </c>
      <c r="J94" t="s">
        <v>228</v>
      </c>
      <c r="K94" t="s">
        <v>12</v>
      </c>
      <c r="L94">
        <v>1</v>
      </c>
      <c r="M94">
        <v>1</v>
      </c>
      <c r="N94">
        <v>2</v>
      </c>
      <c r="O94">
        <v>2</v>
      </c>
      <c r="P94">
        <v>0</v>
      </c>
      <c r="Q94">
        <v>2</v>
      </c>
      <c r="R94">
        <v>0</v>
      </c>
      <c r="S94">
        <v>0</v>
      </c>
      <c r="T94">
        <v>0</v>
      </c>
      <c r="U94">
        <v>2</v>
      </c>
      <c r="V94">
        <v>2</v>
      </c>
      <c r="W94">
        <v>2</v>
      </c>
      <c r="X94">
        <v>0</v>
      </c>
      <c r="Y94">
        <v>2</v>
      </c>
      <c r="Z94" s="1">
        <f t="shared" si="2"/>
        <v>16</v>
      </c>
    </row>
    <row r="95" spans="1:26" ht="18" customHeight="1" x14ac:dyDescent="0.2">
      <c r="A95" t="s">
        <v>49</v>
      </c>
      <c r="B95" s="13">
        <v>41229</v>
      </c>
      <c r="C95" s="13">
        <v>41229</v>
      </c>
      <c r="D95">
        <v>37247</v>
      </c>
      <c r="E95" t="s">
        <v>187</v>
      </c>
      <c r="F95" t="s">
        <v>10</v>
      </c>
      <c r="G95" t="s">
        <v>42</v>
      </c>
      <c r="H95">
        <v>37247</v>
      </c>
      <c r="I95">
        <v>2</v>
      </c>
      <c r="J95">
        <v>5</v>
      </c>
      <c r="K95" t="s">
        <v>17</v>
      </c>
      <c r="L95" s="5">
        <v>1</v>
      </c>
      <c r="M95" s="5">
        <v>2</v>
      </c>
      <c r="N95" s="5">
        <v>2</v>
      </c>
      <c r="O95" s="5">
        <v>1</v>
      </c>
      <c r="P95" s="5">
        <v>1</v>
      </c>
      <c r="Q95" s="5">
        <v>0</v>
      </c>
      <c r="R95" s="5">
        <v>0</v>
      </c>
      <c r="S95" s="5">
        <v>0</v>
      </c>
      <c r="T95" s="5">
        <v>2</v>
      </c>
      <c r="U95" s="5">
        <v>2</v>
      </c>
      <c r="V95" s="5">
        <v>2</v>
      </c>
      <c r="W95" s="5">
        <v>2</v>
      </c>
      <c r="X95" s="5">
        <v>2</v>
      </c>
      <c r="Y95" s="5">
        <v>2</v>
      </c>
      <c r="Z95" s="1">
        <f t="shared" si="2"/>
        <v>19</v>
      </c>
    </row>
    <row r="96" spans="1:26" ht="14" customHeight="1" x14ac:dyDescent="0.2">
      <c r="A96" t="s">
        <v>188</v>
      </c>
      <c r="B96" s="13">
        <v>44110</v>
      </c>
      <c r="C96" s="13">
        <v>44142</v>
      </c>
      <c r="D96">
        <v>1327442</v>
      </c>
      <c r="E96" t="s">
        <v>189</v>
      </c>
      <c r="F96" t="s">
        <v>15</v>
      </c>
      <c r="G96" t="s">
        <v>190</v>
      </c>
      <c r="H96">
        <v>482081</v>
      </c>
      <c r="I96">
        <v>3</v>
      </c>
      <c r="J96" t="s">
        <v>228</v>
      </c>
      <c r="K96" t="s">
        <v>17</v>
      </c>
      <c r="L96">
        <v>2</v>
      </c>
      <c r="M96">
        <v>2</v>
      </c>
      <c r="N96">
        <v>2</v>
      </c>
      <c r="O96">
        <v>0</v>
      </c>
      <c r="P96">
        <v>2</v>
      </c>
      <c r="Q96">
        <v>2</v>
      </c>
      <c r="R96">
        <v>2</v>
      </c>
      <c r="S96">
        <v>0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 s="1">
        <f t="shared" si="2"/>
        <v>24</v>
      </c>
    </row>
    <row r="97" spans="1:26" ht="18" customHeight="1" x14ac:dyDescent="0.2">
      <c r="A97" t="s">
        <v>69</v>
      </c>
      <c r="B97" s="13">
        <v>43763</v>
      </c>
      <c r="C97" s="13">
        <v>43777</v>
      </c>
      <c r="D97">
        <v>681565</v>
      </c>
      <c r="E97" t="s">
        <v>191</v>
      </c>
      <c r="F97" t="s">
        <v>15</v>
      </c>
      <c r="G97" t="s">
        <v>23</v>
      </c>
      <c r="H97">
        <v>497100</v>
      </c>
      <c r="I97">
        <v>3</v>
      </c>
      <c r="J97">
        <v>3</v>
      </c>
      <c r="K97" t="s">
        <v>17</v>
      </c>
      <c r="L97">
        <v>2</v>
      </c>
      <c r="M97" s="5">
        <v>2</v>
      </c>
      <c r="N97" s="7">
        <v>2</v>
      </c>
      <c r="O97">
        <v>2</v>
      </c>
      <c r="P97" s="5">
        <v>2</v>
      </c>
      <c r="Q97" s="5">
        <v>2</v>
      </c>
      <c r="R97">
        <v>1</v>
      </c>
      <c r="S97">
        <v>2</v>
      </c>
      <c r="T97">
        <v>2</v>
      </c>
      <c r="U97" s="7">
        <v>2</v>
      </c>
      <c r="V97">
        <v>2</v>
      </c>
      <c r="W97">
        <v>2</v>
      </c>
      <c r="X97">
        <v>2</v>
      </c>
      <c r="Y97">
        <v>2</v>
      </c>
      <c r="Z97" s="1">
        <f t="shared" si="2"/>
        <v>27</v>
      </c>
    </row>
    <row r="98" spans="1:26" ht="51" customHeight="1" x14ac:dyDescent="0.2">
      <c r="A98" t="s">
        <v>21</v>
      </c>
      <c r="B98" s="13">
        <v>44127</v>
      </c>
      <c r="C98" s="13">
        <v>44133</v>
      </c>
      <c r="D98">
        <v>112185</v>
      </c>
      <c r="E98" t="s">
        <v>192</v>
      </c>
      <c r="F98" t="s">
        <v>10</v>
      </c>
      <c r="G98" t="s">
        <v>193</v>
      </c>
      <c r="H98">
        <v>110542</v>
      </c>
      <c r="I98">
        <v>3</v>
      </c>
      <c r="J98" t="s">
        <v>228</v>
      </c>
      <c r="K98" t="s">
        <v>12</v>
      </c>
      <c r="L98">
        <v>0</v>
      </c>
      <c r="M98">
        <v>1</v>
      </c>
      <c r="N98">
        <v>2</v>
      </c>
      <c r="O98">
        <v>1</v>
      </c>
      <c r="P98">
        <v>0</v>
      </c>
      <c r="Q98">
        <v>2</v>
      </c>
      <c r="R98">
        <v>0</v>
      </c>
      <c r="S98">
        <v>0</v>
      </c>
      <c r="T98">
        <v>0</v>
      </c>
      <c r="U98">
        <v>2</v>
      </c>
      <c r="V98">
        <v>2</v>
      </c>
      <c r="W98">
        <v>2</v>
      </c>
      <c r="X98">
        <v>0</v>
      </c>
      <c r="Y98">
        <v>2</v>
      </c>
      <c r="Z98" s="1">
        <f t="shared" si="2"/>
        <v>14</v>
      </c>
    </row>
    <row r="99" spans="1:26" ht="19" customHeight="1" x14ac:dyDescent="0.2">
      <c r="A99" t="s">
        <v>194</v>
      </c>
      <c r="B99" s="13">
        <v>45077</v>
      </c>
      <c r="C99" s="13">
        <v>45366</v>
      </c>
      <c r="D99">
        <v>281208</v>
      </c>
      <c r="E99" t="s">
        <v>195</v>
      </c>
      <c r="F99" t="s">
        <v>10</v>
      </c>
      <c r="G99" t="s">
        <v>196</v>
      </c>
      <c r="H99">
        <v>60747</v>
      </c>
      <c r="I99">
        <v>3</v>
      </c>
      <c r="J99" t="s">
        <v>228</v>
      </c>
      <c r="K99" t="s">
        <v>12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1</v>
      </c>
      <c r="S99">
        <v>2</v>
      </c>
      <c r="T99">
        <v>0</v>
      </c>
      <c r="U99">
        <v>2</v>
      </c>
      <c r="V99">
        <v>2</v>
      </c>
      <c r="W99">
        <v>2</v>
      </c>
      <c r="X99">
        <v>2</v>
      </c>
      <c r="Y99">
        <v>2</v>
      </c>
      <c r="Z99" s="1">
        <f>SUM(L99:Y99)</f>
        <v>25</v>
      </c>
    </row>
    <row r="100" spans="1:26" ht="19" customHeight="1" x14ac:dyDescent="0.2">
      <c r="A100" t="s">
        <v>21</v>
      </c>
      <c r="B100" s="13">
        <v>42044</v>
      </c>
      <c r="C100" s="13">
        <v>42044</v>
      </c>
      <c r="D100">
        <v>1552925</v>
      </c>
      <c r="E100" t="s">
        <v>197</v>
      </c>
      <c r="F100" t="s">
        <v>15</v>
      </c>
      <c r="G100" t="s">
        <v>23</v>
      </c>
      <c r="H100">
        <v>887290</v>
      </c>
      <c r="I100">
        <v>3</v>
      </c>
      <c r="J100">
        <v>3</v>
      </c>
      <c r="K100" t="s">
        <v>17</v>
      </c>
      <c r="L100">
        <v>0</v>
      </c>
      <c r="M100" s="11">
        <v>2</v>
      </c>
      <c r="N100" s="7">
        <v>2</v>
      </c>
      <c r="O100">
        <v>0</v>
      </c>
      <c r="P100">
        <v>0</v>
      </c>
      <c r="Q100">
        <v>2</v>
      </c>
      <c r="R100">
        <v>0</v>
      </c>
      <c r="S100">
        <v>0</v>
      </c>
      <c r="T100">
        <v>2</v>
      </c>
      <c r="U100" s="7">
        <v>2</v>
      </c>
      <c r="V100">
        <v>2</v>
      </c>
      <c r="W100">
        <v>2</v>
      </c>
      <c r="X100">
        <v>2</v>
      </c>
      <c r="Y100">
        <v>2</v>
      </c>
      <c r="Z100" s="1">
        <f t="shared" si="2"/>
        <v>18</v>
      </c>
    </row>
    <row r="101" spans="1:26" ht="17" customHeight="1" x14ac:dyDescent="0.2">
      <c r="A101" t="s">
        <v>194</v>
      </c>
      <c r="B101" s="13">
        <v>43740</v>
      </c>
      <c r="C101" s="13">
        <v>43740</v>
      </c>
      <c r="D101">
        <v>106092</v>
      </c>
      <c r="E101" t="s">
        <v>198</v>
      </c>
      <c r="F101" t="s">
        <v>10</v>
      </c>
      <c r="G101" t="s">
        <v>199</v>
      </c>
      <c r="H101">
        <v>65551</v>
      </c>
      <c r="I101">
        <v>3</v>
      </c>
      <c r="J101" t="s">
        <v>228</v>
      </c>
      <c r="K101" t="s">
        <v>12</v>
      </c>
      <c r="L101">
        <v>1</v>
      </c>
      <c r="M101">
        <v>0</v>
      </c>
      <c r="N101">
        <v>1</v>
      </c>
      <c r="O101">
        <v>2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2</v>
      </c>
      <c r="V101">
        <v>2</v>
      </c>
      <c r="W101">
        <v>2</v>
      </c>
      <c r="X101">
        <v>0</v>
      </c>
      <c r="Y101">
        <v>2</v>
      </c>
      <c r="Z101" s="1">
        <f t="shared" si="2"/>
        <v>13</v>
      </c>
    </row>
    <row r="102" spans="1:26" ht="19" customHeight="1" x14ac:dyDescent="0.2">
      <c r="A102" t="s">
        <v>49</v>
      </c>
      <c r="B102" s="13">
        <v>41261</v>
      </c>
      <c r="C102" s="13">
        <v>41261</v>
      </c>
      <c r="D102">
        <v>1001808</v>
      </c>
      <c r="E102" t="s">
        <v>200</v>
      </c>
      <c r="F102" t="s">
        <v>10</v>
      </c>
      <c r="G102" t="s">
        <v>42</v>
      </c>
      <c r="H102">
        <v>930022</v>
      </c>
      <c r="I102">
        <v>2</v>
      </c>
      <c r="J102">
        <v>5</v>
      </c>
      <c r="K102" t="s">
        <v>17</v>
      </c>
      <c r="L102">
        <v>2</v>
      </c>
      <c r="M102" s="7">
        <v>2</v>
      </c>
      <c r="N102" s="7">
        <v>2</v>
      </c>
      <c r="O102">
        <v>0</v>
      </c>
      <c r="P102" s="7">
        <v>2</v>
      </c>
      <c r="Q102" s="7">
        <v>2</v>
      </c>
      <c r="R102">
        <v>0</v>
      </c>
      <c r="S102">
        <v>2</v>
      </c>
      <c r="T102">
        <v>2</v>
      </c>
      <c r="U102">
        <v>2</v>
      </c>
      <c r="V102">
        <v>2</v>
      </c>
      <c r="W102">
        <v>2</v>
      </c>
      <c r="X102">
        <v>2</v>
      </c>
      <c r="Y102">
        <v>2</v>
      </c>
      <c r="Z102" s="1">
        <f t="shared" si="2"/>
        <v>24</v>
      </c>
    </row>
    <row r="103" spans="1:26" ht="23" customHeight="1" x14ac:dyDescent="0.2">
      <c r="A103" t="s">
        <v>87</v>
      </c>
      <c r="B103" s="13">
        <v>44679</v>
      </c>
      <c r="C103" s="13">
        <v>44781</v>
      </c>
      <c r="D103">
        <v>278865</v>
      </c>
      <c r="E103" t="s">
        <v>201</v>
      </c>
      <c r="F103" t="s">
        <v>10</v>
      </c>
      <c r="G103" t="s">
        <v>159</v>
      </c>
      <c r="H103">
        <v>183776</v>
      </c>
      <c r="I103">
        <v>3</v>
      </c>
      <c r="J103">
        <v>2</v>
      </c>
      <c r="K103" t="s">
        <v>17</v>
      </c>
      <c r="L103">
        <v>1</v>
      </c>
      <c r="M103">
        <v>2</v>
      </c>
      <c r="N103" s="7">
        <v>2</v>
      </c>
      <c r="O103">
        <v>1</v>
      </c>
      <c r="P103">
        <v>2</v>
      </c>
      <c r="Q103">
        <v>2</v>
      </c>
      <c r="R103">
        <v>1</v>
      </c>
      <c r="S103">
        <v>1</v>
      </c>
      <c r="T103">
        <v>0</v>
      </c>
      <c r="U103">
        <v>2</v>
      </c>
      <c r="V103">
        <v>2</v>
      </c>
      <c r="W103">
        <v>2</v>
      </c>
      <c r="X103">
        <v>2</v>
      </c>
      <c r="Y103">
        <v>2</v>
      </c>
      <c r="Z103" s="1">
        <f t="shared" si="2"/>
        <v>22</v>
      </c>
    </row>
    <row r="104" spans="1:26" ht="22" customHeight="1" x14ac:dyDescent="0.2">
      <c r="A104" t="s">
        <v>8</v>
      </c>
      <c r="B104" s="13">
        <v>44182</v>
      </c>
      <c r="C104" s="13">
        <v>44596</v>
      </c>
      <c r="D104">
        <v>1223324</v>
      </c>
      <c r="E104" t="s">
        <v>202</v>
      </c>
      <c r="F104" t="s">
        <v>10</v>
      </c>
      <c r="G104" t="s">
        <v>203</v>
      </c>
      <c r="H104">
        <v>878779</v>
      </c>
      <c r="I104">
        <v>3</v>
      </c>
      <c r="J104" t="s">
        <v>228</v>
      </c>
      <c r="K104" t="s">
        <v>12</v>
      </c>
      <c r="L104">
        <v>0</v>
      </c>
      <c r="M104">
        <v>2</v>
      </c>
      <c r="N104">
        <v>2</v>
      </c>
      <c r="O104">
        <v>1</v>
      </c>
      <c r="P104">
        <v>1</v>
      </c>
      <c r="Q104">
        <v>2</v>
      </c>
      <c r="R104">
        <v>0</v>
      </c>
      <c r="S104">
        <v>0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 s="1">
        <f t="shared" si="2"/>
        <v>20</v>
      </c>
    </row>
    <row r="105" spans="1:26" x14ac:dyDescent="0.2">
      <c r="A105" t="s">
        <v>49</v>
      </c>
      <c r="B105" s="13">
        <v>41311</v>
      </c>
      <c r="C105" s="13">
        <v>41311</v>
      </c>
      <c r="D105">
        <v>68288</v>
      </c>
      <c r="E105" t="s">
        <v>204</v>
      </c>
      <c r="F105" t="s">
        <v>10</v>
      </c>
      <c r="G105" t="s">
        <v>42</v>
      </c>
      <c r="H105">
        <v>68288</v>
      </c>
      <c r="I105">
        <v>2</v>
      </c>
      <c r="J105">
        <v>5</v>
      </c>
      <c r="K105" t="s">
        <v>17</v>
      </c>
      <c r="L105" s="5">
        <v>1</v>
      </c>
      <c r="M105" s="5">
        <v>2</v>
      </c>
      <c r="N105" s="5">
        <v>2</v>
      </c>
      <c r="O105" s="5">
        <v>1</v>
      </c>
      <c r="P105" s="5">
        <v>1</v>
      </c>
      <c r="Q105" s="5">
        <v>0</v>
      </c>
      <c r="R105" s="5">
        <v>0</v>
      </c>
      <c r="S105" s="5">
        <v>0</v>
      </c>
      <c r="T105" s="5">
        <v>2</v>
      </c>
      <c r="U105" s="5">
        <v>2</v>
      </c>
      <c r="V105" s="5">
        <v>2</v>
      </c>
      <c r="W105" s="5">
        <v>2</v>
      </c>
      <c r="X105" s="5">
        <v>2</v>
      </c>
      <c r="Y105" s="5">
        <v>2</v>
      </c>
      <c r="Z105" s="1">
        <f t="shared" si="2"/>
        <v>19</v>
      </c>
    </row>
    <row r="106" spans="1:26" ht="24.75" customHeight="1" x14ac:dyDescent="0.2">
      <c r="A106" t="s">
        <v>49</v>
      </c>
      <c r="B106" s="13">
        <v>43053</v>
      </c>
      <c r="C106" s="13">
        <v>43053</v>
      </c>
      <c r="D106">
        <v>5172697</v>
      </c>
      <c r="E106" t="s">
        <v>205</v>
      </c>
      <c r="F106" t="s">
        <v>15</v>
      </c>
      <c r="G106" t="s">
        <v>206</v>
      </c>
      <c r="H106">
        <v>4360484</v>
      </c>
      <c r="I106">
        <v>3</v>
      </c>
      <c r="J106">
        <v>5</v>
      </c>
      <c r="K106" t="s">
        <v>17</v>
      </c>
      <c r="L106">
        <v>2</v>
      </c>
      <c r="M106" s="11">
        <v>2</v>
      </c>
      <c r="N106" s="7">
        <v>2</v>
      </c>
      <c r="O106">
        <v>2</v>
      </c>
      <c r="P106">
        <v>0</v>
      </c>
      <c r="Q106">
        <v>2</v>
      </c>
      <c r="R106">
        <v>2</v>
      </c>
      <c r="S106">
        <v>2</v>
      </c>
      <c r="T106">
        <v>1</v>
      </c>
      <c r="U106">
        <v>2</v>
      </c>
      <c r="V106">
        <v>2</v>
      </c>
      <c r="W106">
        <v>2</v>
      </c>
      <c r="X106">
        <v>2</v>
      </c>
      <c r="Y106">
        <v>2</v>
      </c>
      <c r="Z106" s="1">
        <f t="shared" si="2"/>
        <v>25</v>
      </c>
    </row>
    <row r="107" spans="1:26" ht="18" customHeight="1" x14ac:dyDescent="0.2">
      <c r="A107" t="s">
        <v>34</v>
      </c>
      <c r="B107" s="13">
        <v>41625</v>
      </c>
      <c r="C107" s="13">
        <v>41625</v>
      </c>
      <c r="D107">
        <v>80538</v>
      </c>
      <c r="E107" t="s">
        <v>207</v>
      </c>
      <c r="F107" t="s">
        <v>10</v>
      </c>
      <c r="G107" t="s">
        <v>42</v>
      </c>
      <c r="H107">
        <v>80538</v>
      </c>
      <c r="I107">
        <v>2</v>
      </c>
      <c r="J107">
        <v>5</v>
      </c>
      <c r="K107" t="s">
        <v>17</v>
      </c>
      <c r="L107">
        <v>2</v>
      </c>
      <c r="M107" s="11">
        <v>2</v>
      </c>
      <c r="N107" s="7">
        <v>2</v>
      </c>
      <c r="O107">
        <v>2</v>
      </c>
      <c r="P107">
        <v>1</v>
      </c>
      <c r="Q107">
        <v>0</v>
      </c>
      <c r="R107">
        <v>0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 s="1">
        <f>SUM(M107:Y107)</f>
        <v>21</v>
      </c>
    </row>
    <row r="108" spans="1:26" ht="17" customHeight="1" x14ac:dyDescent="0.2">
      <c r="A108" t="s">
        <v>90</v>
      </c>
      <c r="B108" s="13">
        <v>40445</v>
      </c>
      <c r="C108" s="13">
        <v>40445</v>
      </c>
      <c r="D108">
        <v>753975</v>
      </c>
      <c r="E108" t="s">
        <v>208</v>
      </c>
      <c r="F108" t="s">
        <v>10</v>
      </c>
      <c r="G108" t="s">
        <v>209</v>
      </c>
      <c r="H108">
        <v>554972</v>
      </c>
      <c r="I108">
        <v>2</v>
      </c>
      <c r="J108">
        <v>3</v>
      </c>
      <c r="K108" t="s">
        <v>17</v>
      </c>
      <c r="L108">
        <v>0</v>
      </c>
      <c r="M108">
        <v>2</v>
      </c>
      <c r="N108" s="7">
        <v>2</v>
      </c>
      <c r="O108">
        <v>1</v>
      </c>
      <c r="P108">
        <v>2</v>
      </c>
      <c r="Q108">
        <v>1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2</v>
      </c>
      <c r="Z108" s="1">
        <f t="shared" si="2"/>
        <v>24</v>
      </c>
    </row>
  </sheetData>
  <autoFilter ref="A1:Z108" xr:uid="{33E33A82-6977-0743-9232-D64B802F3747}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0B355155CEE244AC2A246D02DC8898" ma:contentTypeVersion="6" ma:contentTypeDescription="Create a new document." ma:contentTypeScope="" ma:versionID="163d29cd0928e39d088676499e03e240">
  <xsd:schema xmlns:xsd="http://www.w3.org/2001/XMLSchema" xmlns:xs="http://www.w3.org/2001/XMLSchema" xmlns:p="http://schemas.microsoft.com/office/2006/metadata/properties" xmlns:ns3="65356b0c-69a9-4f3f-a6b4-e3b0143ba05d" targetNamespace="http://schemas.microsoft.com/office/2006/metadata/properties" ma:root="true" ma:fieldsID="d1908440ad2dd93284795b0d9e5366c2" ns3:_="">
    <xsd:import namespace="65356b0c-69a9-4f3f-a6b4-e3b0143ba05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356b0c-69a9-4f3f-a6b4-e3b0143ba05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16A0EE-06BC-4EAF-BE2A-0172BD4848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356b0c-69a9-4f3f-a6b4-e3b0143ba0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C3EEF5-EDC8-4DE0-A26B-DC57465263C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f9e35db-544f-4f60-bdcc-5ea416e6dc70}" enabled="0" method="" siteId="{0f9e35db-544f-4f60-bdcc-5ea416e6dc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overlap w calyx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Lei</dc:creator>
  <cp:lastModifiedBy>Ning Lei</cp:lastModifiedBy>
  <dcterms:created xsi:type="dcterms:W3CDTF">2025-07-23T16:04:54Z</dcterms:created>
  <dcterms:modified xsi:type="dcterms:W3CDTF">2025-07-27T14:51:11Z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0x0101006C0B355155CEE244AC2A246D02DC8898</vt:lpwstr>
  </property>
  <property fmtid="{D5CDD505-2E9C-101B-9397-08002B2CF9AE}" pid="3" name="_activity">
    <vt:lpwstr/>
  </property>
</Properties>
</file>